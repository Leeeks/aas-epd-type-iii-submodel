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XTC\Desktop\"/>
    </mc:Choice>
  </mc:AlternateContent>
  <xr:revisionPtr revIDLastSave="0" documentId="13_ncr:1_{2B4DDFDD-E7A0-4802-9B9B-0AF868319E91}" xr6:coauthVersionLast="47" xr6:coauthVersionMax="47" xr10:uidLastSave="{00000000-0000-0000-0000-000000000000}"/>
  <workbookProtection workbookAlgorithmName="SHA-512" workbookHashValue="fB6ask5eT+DL6aA1zIjfuLBllbCspGLs5jCTkXq6CzM91btyYuMvzBXKToFLJbIxzRw9/uAGX6qMMUH8wdbZgg==" workbookSaltValue="T8otEZDKG4+K9yvk3Uw8ZA==" workbookSpinCount="100000" lockStructure="1"/>
  <bookViews>
    <workbookView xWindow="-120" yWindow="-120" windowWidth="38640" windowHeight="15990" tabRatio="746" xr2:uid="{768BFA40-D26F-4F6B-A856-9E3BD0A08B0E}"/>
  </bookViews>
  <sheets>
    <sheet name="PEP Declaration" sheetId="1" r:id="rId1"/>
    <sheet name="Indicators PCR-ed 2.1" sheetId="2" state="hidden" r:id="rId2"/>
    <sheet name="Indicators PCR-ed 3" sheetId="16" state="hidden" r:id="rId3"/>
    <sheet name="Indicators PCR-ed 3 - Decl.Prod" sheetId="13" state="hidden" r:id="rId4"/>
    <sheet name="Indicators PCR-ed 4" sheetId="14" r:id="rId5"/>
    <sheet name="Indicators PCR-ed 4 - Decl.Prod" sheetId="17" r:id="rId6"/>
    <sheet name="Level1" sheetId="9" state="hidden" r:id="rId7"/>
    <sheet name="Level2" sheetId="10" state="hidden" r:id="rId8"/>
    <sheet name="Level3" sheetId="11" state="hidden" r:id="rId9"/>
    <sheet name="Level4" sheetId="12" state="hidden" r:id="rId10"/>
    <sheet name="Ref_FuncUnit" sheetId="6" state="hidden" r:id="rId11"/>
    <sheet name="Ref_PCR-PSR-Zone" sheetId="7" state="hidden" r:id="rId12"/>
    <sheet name="Nomenclature" sheetId="8" state="hidden" r:id="rId13"/>
  </sheets>
  <definedNames>
    <definedName name="_xlnm._FilterDatabase" localSheetId="12" hidden="1">Nomenclature!$B$2:$F$402</definedName>
    <definedName name="List_Bool" localSheetId="2">Tableau_Bool[Boolean]</definedName>
    <definedName name="List_Bool" localSheetId="5">Tableau_Bool[Boolean]</definedName>
    <definedName name="List_Bool">Tableau_Bool[Boolean]</definedName>
    <definedName name="List_PCR" localSheetId="2">Tableau_PCR[PCR]</definedName>
    <definedName name="List_PCR" localSheetId="5">Tableau_PCR[PCR]</definedName>
    <definedName name="List_PCR">Tableau_PCR[PCR]</definedName>
    <definedName name="List_PSR" localSheetId="2">Tableau_PSR[PSR]</definedName>
    <definedName name="List_PSR" localSheetId="5">Tableau_PSR[PSR]</definedName>
    <definedName name="List_PSR">Tableau_PSR[PSR]</definedName>
    <definedName name="List_SendMode" localSheetId="2">Tableau_SendMode[Send mode]</definedName>
    <definedName name="List_SendMode" localSheetId="5">Tableau_SendMode[Send mode]</definedName>
    <definedName name="List_SendMode">Tableau_SendMode[Send mode]</definedName>
    <definedName name="List_Units" localSheetId="2">Tableau_Units[Units]</definedName>
    <definedName name="List_Units" localSheetId="5">Tableau_Units[Units]</definedName>
    <definedName name="List_Units">Tableau_Units[Units]</definedName>
    <definedName name="List_Units_Mass" localSheetId="2">Tableau_Units_Mass[Units]</definedName>
    <definedName name="List_Units_Mass" localSheetId="5">Tableau_Units_Mass[Units]</definedName>
    <definedName name="List_Units_Mass">Tableau_Units_Mass[Units]</definedName>
    <definedName name="List_Zone" localSheetId="2">Tableau_Zone[Zone]</definedName>
    <definedName name="List_Zone" localSheetId="5">Tableau_Zone[Zone]</definedName>
    <definedName name="List_Zone">Tableau_Zone[Zone]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7" l="1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" i="17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" i="14"/>
  <c r="A8" i="1"/>
  <c r="A1" i="9" l="1" a="1"/>
  <c r="A1" i="9" s="1"/>
  <c r="AQ4" i="1"/>
  <c r="AM5" i="1"/>
  <c r="AM4" i="1"/>
  <c r="W4" i="1"/>
  <c r="T4" i="1"/>
  <c r="R4" i="1"/>
  <c r="O4" i="1"/>
  <c r="BP4" i="1"/>
  <c r="BN4" i="1"/>
  <c r="BL4" i="1"/>
  <c r="AB4" i="1"/>
  <c r="BH4" i="1"/>
  <c r="D4" i="1" l="1"/>
  <c r="AQ5" i="1"/>
  <c r="C4" i="2"/>
  <c r="C5" i="2"/>
  <c r="C6" i="2"/>
  <c r="C7" i="2"/>
  <c r="C8" i="2"/>
  <c r="C9" i="2"/>
  <c r="C10" i="2"/>
  <c r="C11" i="2"/>
  <c r="C12" i="2"/>
  <c r="C13" i="2"/>
  <c r="C3" i="2"/>
  <c r="A1" i="10" l="1" a="1"/>
  <c r="A1" i="10" s="1"/>
  <c r="F4" i="1" s="1"/>
  <c r="A1" i="11" l="1" a="1"/>
  <c r="A1" i="11" s="1"/>
  <c r="H4" i="1" s="1"/>
  <c r="A1" i="12" s="1" a="1"/>
  <c r="A1" i="12" s="1"/>
  <c r="J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RESPAWNSIVE</author>
  </authors>
  <commentList>
    <comment ref="D4" authorId="0" shapeId="0" xr:uid="{8FC42B30-13D5-404C-BF38-05A2B6EA3EC6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5" authorId="0" shapeId="0" xr:uid="{6259DB7A-0810-4EF9-8C4B-DA7E4924E587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6" authorId="0" shapeId="0" xr:uid="{83BBA247-0BCA-4157-AABB-F7C8BADB286C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7" authorId="0" shapeId="0" xr:uid="{04F59CD1-DB54-429A-BA67-D9C56878F12D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8" authorId="0" shapeId="0" xr:uid="{199A7421-35FE-4C32-B871-834B5AC539E0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9" authorId="0" shapeId="0" xr:uid="{592B94D5-2149-4AF9-B831-C44D32B147B9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0" authorId="0" shapeId="0" xr:uid="{447833E0-D4E4-4BD2-BBC4-A226DDFD5995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1" authorId="0" shapeId="0" xr:uid="{B2042402-D1C5-41B7-8B47-3913CF0B3476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2" authorId="0" shapeId="0" xr:uid="{3AC772A6-B435-4A91-A85E-CF161295B01F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3" authorId="0" shapeId="0" xr:uid="{6011F2DE-CA6C-456A-8482-8E0EEC7ECE39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4" authorId="0" shapeId="0" xr:uid="{6A4FC21D-A1D7-4C03-B85B-1DE79234F958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5" authorId="0" shapeId="0" xr:uid="{5A437E8B-CCF0-4D8A-851F-C0CA6FC6B07F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6" authorId="0" shapeId="0" xr:uid="{08EC0AC0-E551-4C2E-B313-E54B520F027C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3" authorId="0" shapeId="0" xr:uid="{1C09DDC3-0FB4-4D4B-8E6E-878804F428DE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4" authorId="0" shapeId="0" xr:uid="{DF2C2384-3D19-4A8A-B6AB-C5C5B5486302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5" authorId="0" shapeId="0" xr:uid="{FC5D099F-F900-4FCF-A28C-684942546B60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6" authorId="0" shapeId="0" xr:uid="{B6C311EE-6382-4ADE-9D89-376FA5C31413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7" authorId="0" shapeId="0" xr:uid="{5A9DE4EA-BFC4-4314-96E9-1296B2776406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8" authorId="0" shapeId="0" xr:uid="{E7F1C061-C40D-4B32-995F-39A0B23FB668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9" authorId="0" shapeId="0" xr:uid="{538A99D7-9C2A-499A-826C-424748BAF6CD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0" authorId="0" shapeId="0" xr:uid="{6A41052E-C4C0-4E88-B6D0-6B5FB8ACE4AE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1" authorId="0" shapeId="0" xr:uid="{70CCEEBA-F25B-4E7C-B19E-35C6713CBFB5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2" authorId="0" shapeId="0" xr:uid="{09C747B0-57DC-46E4-84E6-46CE8D23F0D7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4" authorId="0" shapeId="0" xr:uid="{A760914E-BD51-4C81-9F72-B58B6A96E0CD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5" authorId="0" shapeId="0" xr:uid="{3AA1354F-74F9-4BCB-AB7E-66239C0131F8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6" authorId="0" shapeId="0" xr:uid="{653BD5EB-B102-44E7-BB98-9496BBB2BC21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7" authorId="0" shapeId="0" xr:uid="{FCCD6BF8-34DD-4A59-A424-0EA073700F0C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8" authorId="0" shapeId="0" xr:uid="{7A23BCE3-680C-4466-8FF1-D6750F0DB09E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9" authorId="0" shapeId="0" xr:uid="{97F475F3-3C33-4AE6-95F5-C3A21E914942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40" authorId="0" shapeId="0" xr:uid="{A15AC82B-BF32-4105-B586-E2BF8D9BC0E1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41" authorId="0" shapeId="0" xr:uid="{411A83B9-6635-4FD0-8DFD-039D0CCDFF96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42" authorId="0" shapeId="0" xr:uid="{382B12AD-C879-408B-9ECE-71ADDE801AE4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RESPAWNSIVE</author>
  </authors>
  <commentList>
    <comment ref="D4" authorId="0" shapeId="0" xr:uid="{6BC40EC3-5E75-479D-91E9-144DB38970F2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5" authorId="0" shapeId="0" xr:uid="{74FEE378-ED42-4384-BA35-3D2B2A546791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6" authorId="0" shapeId="0" xr:uid="{584DD3DF-8639-455A-891F-15FB5FE41F3C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7" authorId="0" shapeId="0" xr:uid="{665E3D5F-4D45-430A-8B3F-6D3476B16A71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8" authorId="0" shapeId="0" xr:uid="{0DCB1808-F7AF-4306-BCB5-CC0119DCCC0C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9" authorId="0" shapeId="0" xr:uid="{069CD61A-84F5-44F5-9C91-2EF68AC74EE6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0" authorId="0" shapeId="0" xr:uid="{D09C13CC-BEEE-46D2-83CC-8ACB7E74E381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1" authorId="0" shapeId="0" xr:uid="{0EEAA05A-88DD-47CA-A8A2-DB8BCD6EE05A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2" authorId="0" shapeId="0" xr:uid="{5BE343F8-E069-4B00-BB3A-82027D15BDA6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3" authorId="0" shapeId="0" xr:uid="{47265A5D-8C80-4BBE-BC02-65923F0EF74D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4" authorId="0" shapeId="0" xr:uid="{4733FC7C-3A14-4A7C-9D21-628C422EEBE4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5" authorId="0" shapeId="0" xr:uid="{0E037666-91DC-4278-9CF2-A3339E068529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16" authorId="0" shapeId="0" xr:uid="{D88BB2D9-885D-4AD4-BE6B-2FFFD9419210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3" authorId="0" shapeId="0" xr:uid="{E06FCB13-5A10-493E-8BA2-D9D67DD8C1B3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4" authorId="0" shapeId="0" xr:uid="{0397A7C7-F2B7-4793-ABB3-5B2E1A5C0991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5" authorId="0" shapeId="0" xr:uid="{D2B65826-F971-4434-9AD7-779007F0BFB8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6" authorId="0" shapeId="0" xr:uid="{79B38647-026C-46FA-8645-9705C3787979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7" authorId="0" shapeId="0" xr:uid="{8496D6BD-535F-41B4-A6E2-80DF5159AA39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8" authorId="0" shapeId="0" xr:uid="{D37EB22B-8CF4-4BCD-ADBB-E9E3F7D5372C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29" authorId="0" shapeId="0" xr:uid="{CA14DFD5-B919-45D2-BB7C-D8FCEBC93430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0" authorId="0" shapeId="0" xr:uid="{9EC44F03-DEA4-4332-8FA4-6F2BA01B90FB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1" authorId="0" shapeId="0" xr:uid="{4658ACCF-B9D3-4192-8751-BC2DD51B427A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2" authorId="0" shapeId="0" xr:uid="{50BCC7C9-75B7-4B8E-8980-CBFA965855C6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4" authorId="0" shapeId="0" xr:uid="{8D7D527E-BB46-451E-B217-DD239F3C7149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5" authorId="0" shapeId="0" xr:uid="{448E4E13-682D-435C-8C71-D7AF803365BD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6" authorId="0" shapeId="0" xr:uid="{6A278F8D-A137-4AD8-B38E-D6C85362D45E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7" authorId="0" shapeId="0" xr:uid="{AE165913-708F-4D3F-A0EF-290C580ED159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8" authorId="0" shapeId="0" xr:uid="{188C7989-DCC4-4850-B909-ED3C58CE669D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39" authorId="0" shapeId="0" xr:uid="{5999EA15-A0F6-4657-897E-4DD291E197D0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40" authorId="0" shapeId="0" xr:uid="{A982DC80-E060-46F5-B703-7416E86F71A4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41" authorId="0" shapeId="0" xr:uid="{FB498400-8640-48C1-94C6-4F7B9C64AD14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  <comment ref="D42" authorId="0" shapeId="0" xr:uid="{00C79773-FD0A-41D9-AB64-978DF725BFAD}">
      <text>
        <r>
          <rPr>
            <b/>
            <sz val="9"/>
            <color indexed="81"/>
            <rFont val="Tahoma"/>
            <family val="2"/>
          </rPr>
          <t>Mandatory indicator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<sst xmlns="http://schemas.openxmlformats.org/spreadsheetml/2006/main" count="1855" uniqueCount="1043">
  <si>
    <t>Register Number</t>
  </si>
  <si>
    <t>Name of PEP</t>
  </si>
  <si>
    <t>unit</t>
  </si>
  <si>
    <t>Manufacturing</t>
  </si>
  <si>
    <t>Distribution</t>
  </si>
  <si>
    <t>Installation</t>
  </si>
  <si>
    <t>Use</t>
  </si>
  <si>
    <t>End of Life</t>
  </si>
  <si>
    <t>Global warming potential</t>
  </si>
  <si>
    <t>g.equivalent.CO2</t>
  </si>
  <si>
    <t>Stratospheric Ozone depletion</t>
  </si>
  <si>
    <t>g.equivalent.CFC-11</t>
  </si>
  <si>
    <t>Water eutrophication</t>
  </si>
  <si>
    <t>g.equivalent.P04 3-</t>
  </si>
  <si>
    <t>Photochemical Ozone Creation</t>
  </si>
  <si>
    <t>g.equivalent.C2H4</t>
  </si>
  <si>
    <t>Air acidification</t>
  </si>
  <si>
    <t>g.equivalent.H+</t>
  </si>
  <si>
    <t>Energy depletion</t>
  </si>
  <si>
    <t>MJ</t>
  </si>
  <si>
    <t>Water Depletion</t>
  </si>
  <si>
    <t>dm3</t>
  </si>
  <si>
    <t>Raw material depletion</t>
  </si>
  <si>
    <t>year-1</t>
  </si>
  <si>
    <t>Air toxicity</t>
  </si>
  <si>
    <t>m3</t>
  </si>
  <si>
    <t>Water toxicity</t>
  </si>
  <si>
    <t>Hazardous waste production</t>
  </si>
  <si>
    <t>kg</t>
  </si>
  <si>
    <t>B1</t>
  </si>
  <si>
    <t>B2</t>
  </si>
  <si>
    <t>B3</t>
  </si>
  <si>
    <t>B4</t>
  </si>
  <si>
    <t>B5</t>
  </si>
  <si>
    <t>B6</t>
  </si>
  <si>
    <t>B7</t>
  </si>
  <si>
    <t>Global warming</t>
  </si>
  <si>
    <t>kg.equivalent.CO2</t>
  </si>
  <si>
    <t>Ozone depletion</t>
  </si>
  <si>
    <t>kg.equivalent.CFC-11</t>
  </si>
  <si>
    <t>Acidification of soil and water</t>
  </si>
  <si>
    <t>kg.equivalent.SO2</t>
  </si>
  <si>
    <t>kg.equivalent.P04 3-</t>
  </si>
  <si>
    <t>Photochemical Ozone formation</t>
  </si>
  <si>
    <t>kg.equivalent.C2H4</t>
  </si>
  <si>
    <t>Depletion of abiotic resources - elements</t>
  </si>
  <si>
    <t>kg.equivalent.Sb</t>
  </si>
  <si>
    <t>Depletion of abiotic resources - fossil fuelss</t>
  </si>
  <si>
    <t>Water pollution</t>
  </si>
  <si>
    <t>Air pollution</t>
  </si>
  <si>
    <t>Use of renewable primary energy, excluding renewable primary energy resources used as raw materials</t>
  </si>
  <si>
    <t>Use of renewable primary energy resources used as raw materials</t>
  </si>
  <si>
    <t>Total use of renewable primary energy resources (primary energy and primary energy resources used as raw materials)</t>
  </si>
  <si>
    <t>Use of non-renewable primary energy, excluding non-renewable primary energy resources used as raw materials</t>
  </si>
  <si>
    <t>Use of non-renewable primary energy resources used as raw materials</t>
  </si>
  <si>
    <t>Total use of non-renewable primary energy resources (primary energy and primary energy resources used as raw materials)</t>
  </si>
  <si>
    <t>Use of secondary materials</t>
  </si>
  <si>
    <t>Use of renewable secondary fuels</t>
  </si>
  <si>
    <t>Use of non-renewable secondary fuels</t>
  </si>
  <si>
    <t>Net use of fresh water</t>
  </si>
  <si>
    <t>Hazardous waste disposed of</t>
  </si>
  <si>
    <t>Non-hazardous waste disposed of</t>
  </si>
  <si>
    <t>Radioactive waste disposed of</t>
  </si>
  <si>
    <t>Components for re-use</t>
  </si>
  <si>
    <t>Materials for recycling</t>
  </si>
  <si>
    <t>Materials for energy recovery</t>
  </si>
  <si>
    <t>Exported energy</t>
  </si>
  <si>
    <t>Total use of primary energy during the life cycle</t>
  </si>
  <si>
    <t>MJ by energy vector</t>
  </si>
  <si>
    <t>Total (declared)</t>
  </si>
  <si>
    <t>Total (calculated)</t>
  </si>
  <si>
    <t>A1</t>
  </si>
  <si>
    <t>A2</t>
  </si>
  <si>
    <t>A3</t>
  </si>
  <si>
    <t>A4</t>
  </si>
  <si>
    <t>A5</t>
  </si>
  <si>
    <t>Indicators</t>
  </si>
  <si>
    <t>Codes</t>
  </si>
  <si>
    <t>Wires and cables</t>
  </si>
  <si>
    <t>people safety and access control</t>
  </si>
  <si>
    <t>building security</t>
  </si>
  <si>
    <t>Heating Ventilation and Air Conditioning equipment</t>
  </si>
  <si>
    <t>Local electricty production</t>
  </si>
  <si>
    <t>Others</t>
  </si>
  <si>
    <t>Lighting products</t>
  </si>
  <si>
    <t>Electric engineering, automation, process control engineering</t>
  </si>
  <si>
    <t>Onglet "Conception de la table" -&gt;  "Redimensionner" puis étendre la sélection pour inclure la ligne ajoutée</t>
  </si>
  <si>
    <t>Wall mounted swithgear and controlgear</t>
  </si>
  <si>
    <t>Electrical Switchgear and Controlgear Solutions for cabinet</t>
  </si>
  <si>
    <t>Home automation and communicating systems</t>
  </si>
  <si>
    <t>Enclosures</t>
  </si>
  <si>
    <t>Miscellenaeous</t>
  </si>
  <si>
    <t>T&amp;D  networks</t>
  </si>
  <si>
    <t>Power and Data transfer inside</t>
  </si>
  <si>
    <t>Other Wire and cables</t>
  </si>
  <si>
    <t>Miscellenaeous - miscellenaeous</t>
  </si>
  <si>
    <t>Detection and access control system</t>
  </si>
  <si>
    <t>video supervision</t>
  </si>
  <si>
    <t xml:space="preserve">Self contained emergency electrical equipment </t>
  </si>
  <si>
    <t>Fire Safety System</t>
  </si>
  <si>
    <t>Ventilation and/or Heating and/or Air Conditioning and/or Hot Water Heating</t>
  </si>
  <si>
    <t>Heating and/or air conditioning and/or hot water heating</t>
  </si>
  <si>
    <t>Hot water heating</t>
  </si>
  <si>
    <t>Comfort terminal units</t>
  </si>
  <si>
    <t>Air ducts and accessories</t>
  </si>
  <si>
    <t>Air diffusion</t>
  </si>
  <si>
    <t>Air handling</t>
  </si>
  <si>
    <t>Ventilation units</t>
  </si>
  <si>
    <t>Refrigeration</t>
  </si>
  <si>
    <t xml:space="preserve">Smokes exhaust </t>
  </si>
  <si>
    <t>Miscellaneous</t>
  </si>
  <si>
    <t>Electricity generator</t>
  </si>
  <si>
    <t>conversion and regulation</t>
  </si>
  <si>
    <t>storage</t>
  </si>
  <si>
    <t>Monitoring</t>
  </si>
  <si>
    <t>Embedded System</t>
  </si>
  <si>
    <t>Industrial Application</t>
  </si>
  <si>
    <t>Electric heating appliances</t>
  </si>
  <si>
    <t>Indoor lighting products and control gear</t>
  </si>
  <si>
    <t>Outdoor lighting products and control gear</t>
  </si>
  <si>
    <t>Electrical drive</t>
  </si>
  <si>
    <t>Power supply</t>
  </si>
  <si>
    <t>Medium voltage switchgear, system</t>
  </si>
  <si>
    <t>Electrical installation, device</t>
  </si>
  <si>
    <t>Pour ajouter une ligne aux tableaux :</t>
  </si>
  <si>
    <t>Entrer la valeur désirée dans la première cellule disponible en dessous du tableau</t>
  </si>
  <si>
    <t>Sélectionner n'importe quelle cellule valide du tableau actuel</t>
  </si>
  <si>
    <t>Automation devices</t>
  </si>
  <si>
    <t>Flush mounting box</t>
  </si>
  <si>
    <t>Controls</t>
  </si>
  <si>
    <t>Plates and support</t>
  </si>
  <si>
    <t>Plugs and socket outlets</t>
  </si>
  <si>
    <t>Visual and sound signal</t>
  </si>
  <si>
    <t>Accessories</t>
  </si>
  <si>
    <t>Circuit breakers for overcurrent protection</t>
  </si>
  <si>
    <t>Surge protective devices</t>
  </si>
  <si>
    <t>Protection of line</t>
  </si>
  <si>
    <t>Lighting management</t>
  </si>
  <si>
    <t>Energy management</t>
  </si>
  <si>
    <t>Management of the doors and shutters</t>
  </si>
  <si>
    <t>Time management</t>
  </si>
  <si>
    <t>Thermal management (heating, ventilation)</t>
  </si>
  <si>
    <t>Measurements</t>
  </si>
  <si>
    <t>Controlgear</t>
  </si>
  <si>
    <t>Multi-media networks</t>
  </si>
  <si>
    <t>Cabinets</t>
  </si>
  <si>
    <t>Cable Tray Systems and Cable Ladder Systems</t>
  </si>
  <si>
    <t>Trunking Systems and Conduit Systems</t>
  </si>
  <si>
    <t>Other Cable Management Products</t>
  </si>
  <si>
    <t>Connection devices (except enclosures)</t>
  </si>
  <si>
    <t>Cabling</t>
  </si>
  <si>
    <t>Power-Supplies</t>
  </si>
  <si>
    <t>Mobile devices</t>
  </si>
  <si>
    <t>Low voltage cables &lt; 1kV</t>
  </si>
  <si>
    <t>T&amp;D Networks accessories</t>
  </si>
  <si>
    <t>Power cables and wires</t>
  </si>
  <si>
    <t>Copper and fiber optical communication cables</t>
  </si>
  <si>
    <t>Building accessories</t>
  </si>
  <si>
    <t>Not isolated</t>
  </si>
  <si>
    <t>Heating cables</t>
  </si>
  <si>
    <t>Intrusion detection system</t>
  </si>
  <si>
    <t>Access control system</t>
  </si>
  <si>
    <t>CCTV system</t>
  </si>
  <si>
    <t>Open Area emergency Lighting</t>
  </si>
  <si>
    <t>Escape route emergency Lighting</t>
  </si>
  <si>
    <t>Emergency lighting</t>
  </si>
  <si>
    <t>Portable emergency luminaire</t>
  </si>
  <si>
    <t>Sounding of the fire alarm</t>
  </si>
  <si>
    <t>Fire safety and technical alarm</t>
  </si>
  <si>
    <t>Multifunctions equipment</t>
  </si>
  <si>
    <t>Boilers</t>
  </si>
  <si>
    <t>Individual storage water heaters</t>
  </si>
  <si>
    <t>photovoltaic modules</t>
  </si>
  <si>
    <t>Wind turbines</t>
  </si>
  <si>
    <t>Conversion</t>
  </si>
  <si>
    <t>Regulation</t>
  </si>
  <si>
    <t>Electrochemical Accumulators</t>
  </si>
  <si>
    <t>Fan coil units</t>
  </si>
  <si>
    <t>Chilled beams</t>
  </si>
  <si>
    <t>Flexible ducting</t>
  </si>
  <si>
    <t>Non flexible ducting</t>
  </si>
  <si>
    <t>Bends and accessories</t>
  </si>
  <si>
    <t>Passive air inlet or outlet</t>
  </si>
  <si>
    <t>Air grilles or diffusers</t>
  </si>
  <si>
    <t>Air inlets</t>
  </si>
  <si>
    <t>Air oulets</t>
  </si>
  <si>
    <t>Air handling units</t>
  </si>
  <si>
    <t>Balanced ventilation unit whith heat recovery</t>
  </si>
  <si>
    <t>Air filters</t>
  </si>
  <si>
    <t>Unidirectionnal ventilation unit</t>
  </si>
  <si>
    <t>Bidirectionnal ventilation unit</t>
  </si>
  <si>
    <t xml:space="preserve">Box or roof fans </t>
  </si>
  <si>
    <t>Chillers</t>
  </si>
  <si>
    <t>Cooling towers</t>
  </si>
  <si>
    <t>Air cooled heat exchangers</t>
  </si>
  <si>
    <t>Smokes exhaust fans</t>
  </si>
  <si>
    <t>Fire dumpers</t>
  </si>
  <si>
    <t>Terminal flame-traps and fire-stop valves</t>
  </si>
  <si>
    <t>Metallic grilles or smoke control dampers</t>
  </si>
  <si>
    <t>Monitoring Equipments</t>
  </si>
  <si>
    <t>Convector</t>
  </si>
  <si>
    <t>Radiant panel</t>
  </si>
  <si>
    <t>Electric Radiator</t>
  </si>
  <si>
    <t>towel-dryer radiator</t>
  </si>
  <si>
    <t>Dynamic heaters</t>
  </si>
  <si>
    <t>Recessed</t>
  </si>
  <si>
    <t>Surface mounted</t>
  </si>
  <si>
    <t>Pendant</t>
  </si>
  <si>
    <t>Mounting accessories</t>
  </si>
  <si>
    <t>Floodlights</t>
  </si>
  <si>
    <t>other outdoor lighting fixtures</t>
  </si>
  <si>
    <t>Recessed floodlights</t>
  </si>
  <si>
    <t>Recessed lighting fixtures for visual guidance</t>
  </si>
  <si>
    <t>Bollards and columns</t>
  </si>
  <si>
    <t>Waterproof fixtures IP&gt;54</t>
  </si>
  <si>
    <t>Lighting columns, spigots and brackets</t>
  </si>
  <si>
    <t>Servo motor</t>
  </si>
  <si>
    <t>Servo controller</t>
  </si>
  <si>
    <t>Switch (medium voltage)</t>
  </si>
  <si>
    <t>Miniature circuit breaker system (MCB)</t>
  </si>
  <si>
    <t>Modular serial built-in device for electrical circuit distributors</t>
  </si>
  <si>
    <t>Bus system</t>
  </si>
  <si>
    <t>Installation switch set</t>
  </si>
  <si>
    <t>Presence detector</t>
  </si>
  <si>
    <t>Room temperature controller</t>
  </si>
  <si>
    <t>Dimmer</t>
  </si>
  <si>
    <t>Flush mounting box on drywall</t>
  </si>
  <si>
    <t>Flush mounting box for masonry</t>
  </si>
  <si>
    <t>Switch</t>
  </si>
  <si>
    <t>Push button</t>
  </si>
  <si>
    <t>Other : CMV (Controlled Mechanical Ventilation), shutter</t>
  </si>
  <si>
    <t xml:space="preserve">Subassemblies of wall mounted swithgear and controlgear </t>
  </si>
  <si>
    <t>RJ sockets for data communication</t>
  </si>
  <si>
    <t xml:space="preserve">Socket outlets </t>
  </si>
  <si>
    <t>Other sockets (TV, audio, usb, video...)</t>
  </si>
  <si>
    <t>Sound diffusion speaker</t>
  </si>
  <si>
    <t>Door bell and chime</t>
  </si>
  <si>
    <t>Light indicator</t>
  </si>
  <si>
    <t>Remote control</t>
  </si>
  <si>
    <t>Contactors</t>
  </si>
  <si>
    <t>Circuit breaker</t>
  </si>
  <si>
    <t>Generator circuit breaker</t>
  </si>
  <si>
    <t>Switches / Disconnectors</t>
  </si>
  <si>
    <t>Supply inverter / reversing switch</t>
  </si>
  <si>
    <t xml:space="preserve">Earth leakage protection relay </t>
  </si>
  <si>
    <t>Surge protective devices for electric power</t>
  </si>
  <si>
    <t>Surge protective devices for communication networks</t>
  </si>
  <si>
    <t>Divisional circuit breakers</t>
  </si>
  <si>
    <t>Motor-protective circuit-breakers</t>
  </si>
  <si>
    <t>Fuse</t>
  </si>
  <si>
    <t>Residual current circuit breaker module (RCCB)</t>
  </si>
  <si>
    <t>Differential circuit breaker</t>
  </si>
  <si>
    <t>Differential switches</t>
  </si>
  <si>
    <t>Twilight switch</t>
  </si>
  <si>
    <t>Solar energy managment</t>
  </si>
  <si>
    <t xml:space="preserve">Load shedding relay </t>
  </si>
  <si>
    <t>Energy management device</t>
  </si>
  <si>
    <t>Doors and shutters management</t>
  </si>
  <si>
    <t>Time switch</t>
  </si>
  <si>
    <t>Time delay</t>
  </si>
  <si>
    <t>TIME DELAY RELAY</t>
  </si>
  <si>
    <t>Energy meter</t>
  </si>
  <si>
    <t>Rain sensor, sun sensor</t>
  </si>
  <si>
    <t>Voltmeter, ammeter</t>
  </si>
  <si>
    <t>Contactor</t>
  </si>
  <si>
    <t>Switch, inverter</t>
  </si>
  <si>
    <t>Remote control switch (RCS)</t>
  </si>
  <si>
    <t>DIN home automation</t>
  </si>
  <si>
    <t>Wall mounted home automation devices</t>
  </si>
  <si>
    <t xml:space="preserve">Distribution frame, terminal block, signal quality detection  </t>
  </si>
  <si>
    <t>WiFi hotspot</t>
  </si>
  <si>
    <t>Electrical cabinet in polyester</t>
  </si>
  <si>
    <t>Electrical cabinet in metal</t>
  </si>
  <si>
    <t>Accessories for cabinet</t>
  </si>
  <si>
    <t>Small distribution board</t>
  </si>
  <si>
    <t>Flush box mounted enclosures</t>
  </si>
  <si>
    <t>Weatherproof enclosures</t>
  </si>
  <si>
    <t>Surface mounted enclosures</t>
  </si>
  <si>
    <t>VDI enclosure for data communication devices</t>
  </si>
  <si>
    <t>Junction boxes</t>
  </si>
  <si>
    <t xml:space="preserve">Climate controlled device, System patchpanel </t>
  </si>
  <si>
    <t>Cable tray wire</t>
  </si>
  <si>
    <t>Cable tray slab</t>
  </si>
  <si>
    <t>Cable ladder systems</t>
  </si>
  <si>
    <t>Conduit systems</t>
  </si>
  <si>
    <t xml:space="preserve">Cable ducting systems </t>
  </si>
  <si>
    <t>Rigid conduit systems</t>
  </si>
  <si>
    <t>Distribution cable trunking systems</t>
  </si>
  <si>
    <t xml:space="preserve">Floor cable trunking systems </t>
  </si>
  <si>
    <t>Installation cable trunking systems</t>
  </si>
  <si>
    <t>Mini-trunking and skirting</t>
  </si>
  <si>
    <t>Home Entry Technical Trunking</t>
  </si>
  <si>
    <t>Floor boxes</t>
  </si>
  <si>
    <t>Service poles and service posts</t>
  </si>
  <si>
    <t>Slotted cable trunking systems for cabinets</t>
  </si>
  <si>
    <t>Other &amp; accessories</t>
  </si>
  <si>
    <t>Connector</t>
  </si>
  <si>
    <t>Industrial socket outlets</t>
  </si>
  <si>
    <t>Copper wiring</t>
  </si>
  <si>
    <t>Fiber optical wiring</t>
  </si>
  <si>
    <t>Transfomer</t>
  </si>
  <si>
    <t>Central power system</t>
  </si>
  <si>
    <t>Hand floodlight</t>
  </si>
  <si>
    <t>Multi-socket outlets, telephone plug adaptor, others</t>
  </si>
  <si>
    <t>intruder alarms</t>
  </si>
  <si>
    <t xml:space="preserve">command (keypad, remote control, </t>
  </si>
  <si>
    <t>alarm central unit</t>
  </si>
  <si>
    <t>signaling devices (siren, transmittor</t>
  </si>
  <si>
    <t>Audio entry phones</t>
  </si>
  <si>
    <t>Video entry phones</t>
  </si>
  <si>
    <t>video capture equipment (camera)</t>
  </si>
  <si>
    <t>Video management equipment</t>
  </si>
  <si>
    <t>Interconnects</t>
  </si>
  <si>
    <t>Self-contained emergency lighting for open area</t>
  </si>
  <si>
    <t>Spotlight units</t>
  </si>
  <si>
    <t>Self-contained Emergency lighting for residential buildings</t>
  </si>
  <si>
    <t>Self-contained emergency lighting for  Facilities with sleeping premises</t>
  </si>
  <si>
    <t>Self-contained emergency lighting with beacon light device</t>
  </si>
  <si>
    <t>self-contained emergency lighting for reinforced escape route for people with reduced mobility</t>
  </si>
  <si>
    <t>Emergency lighting slave luminaire for people with reduced mobility</t>
  </si>
  <si>
    <t>Self-contained portable emergency luminaire</t>
  </si>
  <si>
    <t>Central safety power supply systems for emergency lighting slave luminaire</t>
  </si>
  <si>
    <t>Self-contained audible alarm units for emergency evacuation</t>
  </si>
  <si>
    <t>Self-contained monitoring panel for fire alarm devices</t>
  </si>
  <si>
    <t>Self-contained audible alarm units for emergency evacuation with beacon light device</t>
  </si>
  <si>
    <t>Beacon light device</t>
  </si>
  <si>
    <t>smoke detectors</t>
  </si>
  <si>
    <t>Technical detectors (gas, water ...)</t>
  </si>
  <si>
    <t>Fire alarms  (types 1, 2a, 2b, 3, 4)</t>
  </si>
  <si>
    <t>Technical alarms</t>
  </si>
  <si>
    <t>Balanced ventilation unit with heat pump</t>
  </si>
  <si>
    <t>Oil boiler</t>
  </si>
  <si>
    <t>Heat pump water heater</t>
  </si>
  <si>
    <t>gas water heater</t>
  </si>
  <si>
    <t>solar water heater</t>
  </si>
  <si>
    <t>Crystal silicon (single crystal, polycrystal)</t>
  </si>
  <si>
    <t>thin layers</t>
  </si>
  <si>
    <t>Horizontal</t>
  </si>
  <si>
    <t>Vertical</t>
  </si>
  <si>
    <t>synchronous inverters</t>
  </si>
  <si>
    <t>Stand-alone Inverters</t>
  </si>
  <si>
    <t>DC/DC Converters</t>
  </si>
  <si>
    <t>AC/DC Converters</t>
  </si>
  <si>
    <t>laod controller</t>
  </si>
  <si>
    <t>lead acid</t>
  </si>
  <si>
    <t>lithium -ion</t>
  </si>
  <si>
    <t>Biomass boiler</t>
  </si>
  <si>
    <t>Hybrid boiler</t>
  </si>
  <si>
    <t>electric water heater</t>
  </si>
  <si>
    <t>Linear recessed indoor lighting fixtures for tertiary lighting</t>
  </si>
  <si>
    <t>Non-linear recessed indoor lighting fixtures for tertiary lighting</t>
  </si>
  <si>
    <t>Indoor recessed lighting fixtures for accent lighting</t>
  </si>
  <si>
    <t>Linear pendant or ceiling mounted indoor lighting fixtures for industrial or tertiary lighting</t>
  </si>
  <si>
    <t>Linear wall mounted indoor lighting fixtures for functional lighting</t>
  </si>
  <si>
    <t>Pendant or surface mounted indoor lighting fixtures for decorative lighting</t>
  </si>
  <si>
    <t>Indoor lighting bulkheads</t>
  </si>
  <si>
    <t>Indoor lighting batten : linear pendant or ceiling mounted indoor lighting fixtures without any optical system (reflector or diffuser)</t>
  </si>
  <si>
    <t>Surface mounted, pendant or track indoor lighting spotlights for accent lighting</t>
  </si>
  <si>
    <t>Waterproof indoor lighting fixtures</t>
  </si>
  <si>
    <t>LED strips or LED bars (including power supply or driver)</t>
  </si>
  <si>
    <t>High bays : indoor lighting fixtures for industrial lighting</t>
  </si>
  <si>
    <t>trunking systems for industrial or commercial lighting</t>
  </si>
  <si>
    <t>track systems for lighting</t>
  </si>
  <si>
    <t>Floodlights for sport lighting or large areas</t>
  </si>
  <si>
    <t>Outdoor lighting spotlights for decorative lighting</t>
  </si>
  <si>
    <t>Outdoor lighting fixtures for decorative lighting</t>
  </si>
  <si>
    <t>Outdoor lighting fixtures for functional lighting</t>
  </si>
  <si>
    <t>traditional styled lantern</t>
  </si>
  <si>
    <t>Outdoor floor or wall recessed floodlights</t>
  </si>
  <si>
    <t>Outdoor floor or wall recessed lighting fixtures for visual guidance</t>
  </si>
  <si>
    <t>Outdoor lighting bollards for decorative lighting</t>
  </si>
  <si>
    <t>Outdoor lighting columns for decorative lighting</t>
  </si>
  <si>
    <t>Waterproof bulkheads and wall mounted fixtures</t>
  </si>
  <si>
    <t>Submersible recessed lighting fixtures for swimming pools and fountains</t>
  </si>
  <si>
    <t>Submersible floodlights for swimming pools and fountains</t>
  </si>
  <si>
    <t>Lighting columns and spigots</t>
  </si>
  <si>
    <t>Brackets for outdoor lighting</t>
  </si>
  <si>
    <t>Other accessories</t>
  </si>
  <si>
    <t>Servo DC motor</t>
  </si>
  <si>
    <t>Servo-converter</t>
  </si>
  <si>
    <t>Fuse switch disconnector (medium voltage)</t>
  </si>
  <si>
    <t>Miniature circuit breaker (MCB)</t>
  </si>
  <si>
    <t>Selective main line circuit breaker</t>
  </si>
  <si>
    <t>Miniature circuit breaker (MCB) screw-in model</t>
  </si>
  <si>
    <t>Protective circuit</t>
  </si>
  <si>
    <t>Miniature circuit breaker (MCB) with auxiliary device</t>
  </si>
  <si>
    <t>Auxiliary contact for miniature circuit breaker</t>
  </si>
  <si>
    <t>Miniature circuit breaker system (MCB, unspecified)</t>
  </si>
  <si>
    <t>Main switch for distribution board</t>
  </si>
  <si>
    <t>Electronic electricity meter</t>
  </si>
  <si>
    <t>I/O device for bus system</t>
  </si>
  <si>
    <t>Cover plate for switches/push buttons/dimmers/venetian blind</t>
  </si>
  <si>
    <t>Plug socket</t>
  </si>
  <si>
    <t>Wc</t>
  </si>
  <si>
    <t>kg (kilogram)</t>
  </si>
  <si>
    <t>Units</t>
  </si>
  <si>
    <t>PCR</t>
  </si>
  <si>
    <t>PEP-PCR-ed3-2015 04 02</t>
  </si>
  <si>
    <t>PSR-0005-ed1-2012 12 11</t>
  </si>
  <si>
    <t>PSR</t>
  </si>
  <si>
    <t>Zone</t>
  </si>
  <si>
    <t>id</t>
  </si>
  <si>
    <t>EN-Designation</t>
  </si>
  <si>
    <t>idParent</t>
  </si>
  <si>
    <t>tree_level</t>
  </si>
  <si>
    <t>has_children</t>
  </si>
  <si>
    <t>SCGA-00890-V02.01-FR</t>
  </si>
  <si>
    <t>No format : 
Free text</t>
  </si>
  <si>
    <t>ProductName</t>
  </si>
  <si>
    <t>Property :</t>
  </si>
  <si>
    <t>Format to respect :</t>
  </si>
  <si>
    <t>Example :</t>
  </si>
  <si>
    <t>Select an item from the DropDownList only, and don't change the text selected.</t>
  </si>
  <si>
    <t>Select an item from the DropDownList only, and don't change the text selected.
The selection of an item, will filter the next list (Category)</t>
  </si>
  <si>
    <t>Select an item from the DropDownList only, and don't change the text selected.
The selection of an item, will filter the next list (Family)</t>
  </si>
  <si>
    <t>Select an item from the DropDownList only, and don't change the text selected.
The selection of an item, will filter the next list (Solution)</t>
  </si>
  <si>
    <t>No format : free text</t>
  </si>
  <si>
    <t>Integer number only</t>
  </si>
  <si>
    <t>Other references : 510 903 - 510 905 - 510 907 - 510 912</t>
  </si>
  <si>
    <t>Decimal only</t>
  </si>
  <si>
    <t>Calculated verification :
Must be 100,00 % !</t>
  </si>
  <si>
    <t>Format : email@domain.com</t>
  </si>
  <si>
    <t>No format :
free text</t>
  </si>
  <si>
    <t>No format : 
free text</t>
  </si>
  <si>
    <t>Format : 
email@domain.com</t>
  </si>
  <si>
    <t>Boolean</t>
  </si>
  <si>
    <t>xxxxx</t>
  </si>
  <si>
    <t>email@domain.fr</t>
  </si>
  <si>
    <t>xxxx</t>
  </si>
  <si>
    <t>Your PEP  
Declaration :</t>
  </si>
  <si>
    <t>Yes</t>
  </si>
  <si>
    <t>No</t>
  </si>
  <si>
    <t>Description :</t>
  </si>
  <si>
    <t>Help :</t>
  </si>
  <si>
    <r>
      <t>Format :</t>
    </r>
    <r>
      <rPr>
        <b/>
        <sz val="8"/>
        <color theme="1"/>
        <rFont val="Calibri"/>
        <family val="2"/>
        <scheme val="minor"/>
      </rPr>
      <t xml:space="preserve"> AAAA-bbbbb-Vxx.yy-cc</t>
    </r>
  </si>
  <si>
    <t>o "AAAA" : unique code of 4 alpha-numeric characters assigned to the applicant company.
o "bbbbb" : Unique document number of 5 digits managed by the applicant Company
o "V" = fixed character before the PEP version
o "xx.yy": identification of the version of the document according to the rules defined :
     "xx" version number "major" from 01 to 99
     "yy": version number of "minor" from 01 to 99
     The first version of a PEP begins with the number "01.01"
o "cc": code of 2 characters for the language of the document according to ISO 639</t>
  </si>
  <si>
    <t>This is your unique PEP Registration Number</t>
  </si>
  <si>
    <t>This is your product Name</t>
  </si>
  <si>
    <t>Percentage
(max 2 decimals)</t>
  </si>
  <si>
    <t>Format : 
"VH00"</t>
  </si>
  <si>
    <t>VH00</t>
  </si>
  <si>
    <t>"VH" -&gt; fixed prefix
"00" -&gt; integer with 2 numbers</t>
  </si>
  <si>
    <t>Select an item from the DropDownList only.</t>
  </si>
  <si>
    <t>Family (Level 3)</t>
  </si>
  <si>
    <t>Product Classification (Level 1)</t>
  </si>
  <si>
    <t>Category (Level 2)</t>
  </si>
  <si>
    <t>Solution (Level 4)</t>
  </si>
  <si>
    <t>Product Reference</t>
  </si>
  <si>
    <t>Functional-Unit Description</t>
  </si>
  <si>
    <t>Functional-Unit Quantity</t>
  </si>
  <si>
    <t>Functional-Unit Unit</t>
  </si>
  <si>
    <t>Date of publication</t>
  </si>
  <si>
    <t>Related PCR</t>
  </si>
  <si>
    <t>Related PSR</t>
  </si>
  <si>
    <t>Use Life-time</t>
  </si>
  <si>
    <t>Total mass</t>
  </si>
  <si>
    <t>Total mass Unit</t>
  </si>
  <si>
    <t>Percent of Plastic</t>
  </si>
  <si>
    <t>Percent of Metal</t>
  </si>
  <si>
    <t>Percent of Other</t>
  </si>
  <si>
    <t>Percent Total</t>
  </si>
  <si>
    <t>Technical-Contact Email</t>
  </si>
  <si>
    <t>Verificator Number</t>
  </si>
  <si>
    <t>Submitter Name</t>
  </si>
  <si>
    <t>Order Number</t>
  </si>
  <si>
    <t>Send the PEP to Inies ?</t>
  </si>
  <si>
    <t>Is PEP available on Ecoplatform ?</t>
  </si>
  <si>
    <t>code</t>
  </si>
  <si>
    <t>dm²</t>
  </si>
  <si>
    <t>m²</t>
  </si>
  <si>
    <t>m³</t>
  </si>
  <si>
    <t>m</t>
  </si>
  <si>
    <t>kWh</t>
  </si>
  <si>
    <t>L</t>
  </si>
  <si>
    <t>g</t>
  </si>
  <si>
    <t>cm</t>
  </si>
  <si>
    <t>ml</t>
  </si>
  <si>
    <t>mg</t>
  </si>
  <si>
    <t>mm³</t>
  </si>
  <si>
    <t>g/m²</t>
  </si>
  <si>
    <t>kg/m²</t>
  </si>
  <si>
    <t>kWhep</t>
  </si>
  <si>
    <t>km</t>
  </si>
  <si>
    <t>mL</t>
  </si>
  <si>
    <t>t.km</t>
  </si>
  <si>
    <t>kW</t>
  </si>
  <si>
    <t>Functional Units</t>
  </si>
  <si>
    <t>Mass Units</t>
  </si>
  <si>
    <t>PEP-PCR-ed4-2021 09 06</t>
  </si>
  <si>
    <t>PEP-PCR-ed2.1-2012 12 11</t>
  </si>
  <si>
    <t>No PSR</t>
  </si>
  <si>
    <t>PSR-0001-ed2-2015 01 20</t>
  </si>
  <si>
    <t>PSR-0002-ed1.1-2015 05 26</t>
  </si>
  <si>
    <t>PSR-0002-ed2-2017 10 17</t>
  </si>
  <si>
    <t>PSR-0003-ed1-2012 02 02</t>
  </si>
  <si>
    <t>PSR-0003-ed1.1-2015 10 16</t>
  </si>
  <si>
    <t>PSR-0004-ed2-2014 04 08</t>
  </si>
  <si>
    <t>PSR-0004-ed2.1-2015 05 26</t>
  </si>
  <si>
    <t>PSR-0004-ed3-2018 02 09</t>
  </si>
  <si>
    <t>PSR-0004-ed4.0-EN-2019 03 14</t>
  </si>
  <si>
    <t>PSR-0005-ed2-2016 03 29</t>
  </si>
  <si>
    <t>PSR-0006-ed1-2013 02 12</t>
  </si>
  <si>
    <t>PSR-0006-ed1.1-2015 10 16</t>
  </si>
  <si>
    <t>PSR-0007-ed1-2013 04 09</t>
  </si>
  <si>
    <t>PSR-0007-ed1.1-2015 10 16</t>
  </si>
  <si>
    <t>PSR-0008-ed1.1-2015 05 26</t>
  </si>
  <si>
    <t>PSR-0008-ed2-2018 02 09</t>
  </si>
  <si>
    <t>PSR-0009-ed1-2013 12 16</t>
  </si>
  <si>
    <t>PSR-0009-ed2-2018 02 09</t>
  </si>
  <si>
    <t>PSR-0010-ed1-2014 02 11</t>
  </si>
  <si>
    <t>PSR-0010-ed1.1-2015 10 16</t>
  </si>
  <si>
    <t>PSR-0011-ed1-2018 02 09</t>
  </si>
  <si>
    <t>PSR-0012-ed1-2018 02 09</t>
  </si>
  <si>
    <t>PSR-0013-ed1-2018 04 06</t>
  </si>
  <si>
    <t>PSR-0013-ed2-2019 12 06</t>
  </si>
  <si>
    <t>PSR-0014-ed1-2018 07 18</t>
  </si>
  <si>
    <t>PSR-0015-ed1-2017 01 10</t>
  </si>
  <si>
    <t>PSR-0016-ed1-EN-2019 03 14</t>
  </si>
  <si>
    <t>PSR-0016-ed1-FR-2019 03 14</t>
  </si>
  <si>
    <t>PSR-0017-ed1-EN-2019 04 01</t>
  </si>
  <si>
    <t>PSR-0017-ed1-FR-2019 04 01</t>
  </si>
  <si>
    <t>europe</t>
  </si>
  <si>
    <t>AFG</t>
  </si>
  <si>
    <t>ZAF</t>
  </si>
  <si>
    <t>ALB</t>
  </si>
  <si>
    <t>DZA</t>
  </si>
  <si>
    <t>DEU</t>
  </si>
  <si>
    <t>AND</t>
  </si>
  <si>
    <t>AGO</t>
  </si>
  <si>
    <t>AIA</t>
  </si>
  <si>
    <t>ATA</t>
  </si>
  <si>
    <t>ATG</t>
  </si>
  <si>
    <t>SAU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</si>
  <si>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</si>
  <si>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</si>
  <si>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</si>
  <si>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</si>
  <si>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</si>
  <si>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</si>
  <si>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</si>
  <si>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</si>
  <si>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</si>
  <si>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</si>
  <si>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BEL</t>
  </si>
  <si>
    <t>BLZ</t>
  </si>
  <si>
    <t>BEN</t>
  </si>
  <si>
    <t>BMU</t>
  </si>
  <si>
    <t>BTN</t>
  </si>
  <si>
    <t>BLR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</si>
  <si>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</si>
  <si>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</si>
  <si>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</si>
  <si>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</si>
  <si>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</si>
  <si>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</si>
  <si>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</si>
  <si>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</si>
  <si>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</si>
  <si>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</si>
  <si>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</si>
  <si>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</si>
  <si>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CHL</t>
  </si>
  <si>
    <t>CHN</t>
  </si>
  <si>
    <t>CYP</t>
  </si>
  <si>
    <t>COL</t>
  </si>
  <si>
    <t>COM</t>
  </si>
  <si>
    <t>COG</t>
  </si>
  <si>
    <t>COD</t>
  </si>
  <si>
    <t>PRK</t>
  </si>
  <si>
    <t>KOR</t>
  </si>
  <si>
    <t>CRI</t>
  </si>
  <si>
    <t>CIV</t>
  </si>
  <si>
    <t>HRV</t>
  </si>
  <si>
    <t>CUB</t>
  </si>
  <si>
    <t>CUW</t>
  </si>
  <si>
    <t>DNK</t>
  </si>
  <si>
    <t>DJI</t>
  </si>
  <si>
    <t>DMA</t>
  </si>
  <si>
    <t>EGY</t>
  </si>
  <si>
    <t>ARE</t>
  </si>
  <si>
    <t>ECU</t>
  </si>
  <si>
    <t>ERI</t>
  </si>
  <si>
    <t>ESP</t>
  </si>
  <si>
    <t>EST</t>
  </si>
  <si>
    <t>SWZ</t>
  </si>
  <si>
    <t>VAT</t>
  </si>
  <si>
    <t>USA</t>
  </si>
  <si>
    <t>ETH</t>
  </si>
  <si>
    <t>FJI</t>
  </si>
  <si>
    <t>FIN</t>
  </si>
  <si>
    <t>FRA</t>
  </si>
  <si>
    <t>GAB</t>
  </si>
  <si>
    <t>GMB</t>
  </si>
  <si>
    <t>GEO</t>
  </si>
  <si>
    <t>SGS</t>
  </si>
  <si>
    <t>GHA</t>
  </si>
  <si>
    <t>GIB</t>
  </si>
  <si>
    <t>GRC</t>
  </si>
  <si>
    <t>GRD</t>
  </si>
  <si>
    <t>GRL</t>
  </si>
  <si>
    <t>GLP</t>
  </si>
  <si>
    <t>GUM</t>
  </si>
  <si>
    <t>GTM</t>
  </si>
  <si>
    <t>GGY</t>
  </si>
  <si>
    <t>GIN</t>
  </si>
  <si>
    <t>GNQ</t>
  </si>
  <si>
    <t>GNB</t>
  </si>
  <si>
    <t>GUY</t>
  </si>
  <si>
    <t>GUF</t>
  </si>
  <si>
    <t>HTI</t>
  </si>
  <si>
    <t>HND</t>
  </si>
  <si>
    <t>HUN</t>
  </si>
  <si>
    <t>BVT</t>
  </si>
  <si>
    <t>CXR</t>
  </si>
  <si>
    <t>IMN</t>
  </si>
  <si>
    <t>NFK</t>
  </si>
  <si>
    <t>ALA</t>
  </si>
  <si>
    <t>CYM</t>
  </si>
  <si>
    <t>CCK</t>
  </si>
  <si>
    <t>COK</t>
  </si>
  <si>
    <t>FRO</t>
  </si>
  <si>
    <t>HMD</t>
  </si>
  <si>
    <t>FLK</t>
  </si>
  <si>
    <t>MNP</t>
  </si>
  <si>
    <t>MHL</t>
  </si>
  <si>
    <t>UMI</t>
  </si>
  <si>
    <t>PCN</t>
  </si>
  <si>
    <t>SLB</t>
  </si>
  <si>
    <t>TCA</t>
  </si>
  <si>
    <t>VGB</t>
  </si>
  <si>
    <t>VIR</t>
  </si>
  <si>
    <t>IND</t>
  </si>
  <si>
    <t>IDN</t>
  </si>
  <si>
    <t>IRQ</t>
  </si>
  <si>
    <t>IRN</t>
  </si>
  <si>
    <t>IRL</t>
  </si>
  <si>
    <t>ISL</t>
  </si>
  <si>
    <t>ISR</t>
  </si>
  <si>
    <t>ITA</t>
  </si>
  <si>
    <t>JAM</t>
  </si>
  <si>
    <t>JPN</t>
  </si>
  <si>
    <t>JEY</t>
  </si>
  <si>
    <t>JOR</t>
  </si>
  <si>
    <t>KAZ</t>
  </si>
  <si>
    <t>KEN</t>
  </si>
  <si>
    <t>KGZ</t>
  </si>
  <si>
    <t>KIR</t>
  </si>
  <si>
    <t>KWT</t>
  </si>
  <si>
    <t>REU</t>
  </si>
  <si>
    <t>LAO</t>
  </si>
  <si>
    <t>LSO</t>
  </si>
  <si>
    <t>LVA</t>
  </si>
  <si>
    <t>LBN</t>
  </si>
  <si>
    <t>LBR</t>
  </si>
  <si>
    <t>LBY</t>
  </si>
  <si>
    <t>LIE</t>
  </si>
  <si>
    <t>LTU</t>
  </si>
  <si>
    <t>LUX</t>
  </si>
  <si>
    <t>MKD</t>
  </si>
  <si>
    <t>MDG</t>
  </si>
  <si>
    <t>MYS</t>
  </si>
  <si>
    <t>MWI</t>
  </si>
  <si>
    <t>MDV</t>
  </si>
  <si>
    <t>MLI</t>
  </si>
  <si>
    <t>MLT</t>
  </si>
  <si>
    <t>MAR</t>
  </si>
  <si>
    <t>MTQ</t>
  </si>
  <si>
    <t>MUS</t>
  </si>
  <si>
    <t>MRT</t>
  </si>
  <si>
    <t>MYT</t>
  </si>
  <si>
    <t>MEX</t>
  </si>
  <si>
    <t>FSM</t>
  </si>
  <si>
    <t>MDA</t>
  </si>
  <si>
    <t>MCO</t>
  </si>
  <si>
    <t>MNG</t>
  </si>
  <si>
    <t>MNE</t>
  </si>
  <si>
    <t>MSR</t>
  </si>
  <si>
    <t>MOZ</t>
  </si>
  <si>
    <t>MMR</t>
  </si>
  <si>
    <t>NAM</t>
  </si>
  <si>
    <t>NRU</t>
  </si>
  <si>
    <t>NPL</t>
  </si>
  <si>
    <t>NIC</t>
  </si>
  <si>
    <t>NER</t>
  </si>
  <si>
    <t>NGA</t>
  </si>
  <si>
    <t>NIU</t>
  </si>
  <si>
    <t>NOR</t>
  </si>
  <si>
    <t>NCL</t>
  </si>
  <si>
    <t>NZL</t>
  </si>
  <si>
    <t>OMN</t>
  </si>
  <si>
    <t>UGA</t>
  </si>
  <si>
    <t>UZB</t>
  </si>
  <si>
    <t>PAK</t>
  </si>
  <si>
    <t>PLW</t>
  </si>
  <si>
    <t>PAN</t>
  </si>
  <si>
    <t>PNG</t>
  </si>
  <si>
    <t>PRY</t>
  </si>
  <si>
    <t>NLD</t>
  </si>
  <si>
    <t>BES</t>
  </si>
  <si>
    <t>PER</t>
  </si>
  <si>
    <t>PHL</t>
  </si>
  <si>
    <t>POL</t>
  </si>
  <si>
    <t>PYF</t>
  </si>
  <si>
    <t>PRI</t>
  </si>
  <si>
    <t>PRT</t>
  </si>
  <si>
    <t>QAT</t>
  </si>
  <si>
    <t>HKG</t>
  </si>
  <si>
    <t>MAC</t>
  </si>
  <si>
    <t>CAF</t>
  </si>
  <si>
    <t>DOM</t>
  </si>
  <si>
    <t>ROU</t>
  </si>
  <si>
    <t>GBR</t>
  </si>
  <si>
    <t>RUS</t>
  </si>
  <si>
    <t>RWA</t>
  </si>
  <si>
    <t>ESH</t>
  </si>
  <si>
    <t>BLM</t>
  </si>
  <si>
    <t>KNA</t>
  </si>
  <si>
    <t>SMR</t>
  </si>
  <si>
    <t>MAF</t>
  </si>
  <si>
    <t>SXM</t>
  </si>
  <si>
    <t>SPM</t>
  </si>
  <si>
    <t>VCT</t>
  </si>
  <si>
    <t>SHN</t>
  </si>
  <si>
    <t>LCA</t>
  </si>
  <si>
    <t>SLV</t>
  </si>
  <si>
    <t>WSM</t>
  </si>
  <si>
    <t>ASM</t>
  </si>
  <si>
    <t>STP</t>
  </si>
  <si>
    <t>SEN</t>
  </si>
  <si>
    <t>SRB</t>
  </si>
  <si>
    <t>SYC</t>
  </si>
  <si>
    <t>SLE</t>
  </si>
  <si>
    <t>SGP</t>
  </si>
  <si>
    <t>SVK</t>
  </si>
  <si>
    <t>SVN</t>
  </si>
  <si>
    <t>SOM</t>
  </si>
  <si>
    <t>SDN</t>
  </si>
  <si>
    <t>SSD</t>
  </si>
  <si>
    <t>LKA</t>
  </si>
  <si>
    <t>SWE</t>
  </si>
  <si>
    <t>CHE</t>
  </si>
  <si>
    <t>SUR</t>
  </si>
  <si>
    <t>SJM</t>
  </si>
  <si>
    <t>SYR</t>
  </si>
  <si>
    <t>TJK</t>
  </si>
  <si>
    <t>TWN</t>
  </si>
  <si>
    <t>TZA</t>
  </si>
  <si>
    <t>TCD</t>
  </si>
  <si>
    <t>CZE</t>
  </si>
  <si>
    <t>ATF</t>
  </si>
  <si>
    <t>IOT</t>
  </si>
  <si>
    <t>PSE</t>
  </si>
  <si>
    <t>THA</t>
  </si>
  <si>
    <t>TLS</t>
  </si>
  <si>
    <t>TGO</t>
  </si>
  <si>
    <t>TKL</t>
  </si>
  <si>
    <t>TON</t>
  </si>
  <si>
    <t>TTO</t>
  </si>
  <si>
    <t>TUN</t>
  </si>
  <si>
    <t>TKM</t>
  </si>
  <si>
    <t>TUR</t>
  </si>
  <si>
    <t>TUV</t>
  </si>
  <si>
    <t>UKR</t>
  </si>
  <si>
    <t>URY</t>
  </si>
  <si>
    <t>VUT</t>
  </si>
  <si>
    <t>VEN</t>
  </si>
  <si>
    <t>VNM</t>
  </si>
  <si>
    <t>WLF</t>
  </si>
  <si>
    <t>YEM</t>
  </si>
  <si>
    <t>ZMB</t>
  </si>
  <si>
    <t>ZWE</t>
  </si>
  <si>
    <t>Code</t>
  </si>
  <si>
    <t>PCR Versions</t>
  </si>
  <si>
    <t>PSR Versions</t>
  </si>
  <si>
    <t>Geo Zones</t>
  </si>
  <si>
    <t>Use/Application</t>
  </si>
  <si>
    <t>Environmental impact</t>
  </si>
  <si>
    <t>Inventory flows indicators</t>
  </si>
  <si>
    <t>Don't send</t>
  </si>
  <si>
    <t>Send Functional Unit</t>
  </si>
  <si>
    <t>Send Declared Product</t>
  </si>
  <si>
    <t>Send mode</t>
  </si>
  <si>
    <t>Export</t>
  </si>
  <si>
    <t>Declared product Quantity</t>
  </si>
  <si>
    <t>Declared product Unit</t>
  </si>
  <si>
    <t>Declared product ExtraRules</t>
  </si>
  <si>
    <t>Integer only</t>
  </si>
  <si>
    <t>Automatic : don't change !</t>
  </si>
  <si>
    <t>Distribute Pep to the Website ?</t>
  </si>
  <si>
    <t>Is PEP available on API ?</t>
  </si>
  <si>
    <t>ID AUTO</t>
  </si>
  <si>
    <t>D</t>
  </si>
  <si>
    <t>Ben./loads byd system bound.</t>
  </si>
  <si>
    <t>Acidification (AP)</t>
  </si>
  <si>
    <t>mole of H+ equiv</t>
  </si>
  <si>
    <t>Freshwater eutrophication</t>
  </si>
  <si>
    <t>kg P eq.</t>
  </si>
  <si>
    <t>Marine aquatic eutrophication</t>
  </si>
  <si>
    <t>kg of N equiv</t>
  </si>
  <si>
    <t>Terrestrial eutrophication</t>
  </si>
  <si>
    <t>mole of N equiv</t>
  </si>
  <si>
    <t>Photochemical ozone formation</t>
  </si>
  <si>
    <t>kg of NMVOC equiv</t>
  </si>
  <si>
    <t>Depletion of abiotic resources - fossil fuels</t>
  </si>
  <si>
    <t>Climate change - total</t>
  </si>
  <si>
    <t xml:space="preserve"> kg CO2 eq.</t>
  </si>
  <si>
    <t>Climate change - fossil fuels</t>
  </si>
  <si>
    <t>Climate change - biogenics</t>
  </si>
  <si>
    <t>Climate change - land use and land use transformation</t>
  </si>
  <si>
    <t>m3 of equiv. deprivation worldwide</t>
  </si>
  <si>
    <t>Emission of fine particles</t>
  </si>
  <si>
    <t>incidence of diseases</t>
  </si>
  <si>
    <t>Ionizing radiation, human health</t>
  </si>
  <si>
    <t>kBq of U235 equiv.</t>
  </si>
  <si>
    <t>CTUe</t>
  </si>
  <si>
    <t>CTUh</t>
  </si>
  <si>
    <t>Impacts related to land use/soil quality</t>
  </si>
  <si>
    <t>-</t>
  </si>
  <si>
    <t>Resource use indicators</t>
  </si>
  <si>
    <t>Indicators describing the use of secondary materials, water and energy resources (e.g. waste combustion)</t>
  </si>
  <si>
    <t xml:space="preserve">Waste category indicators   </t>
  </si>
  <si>
    <t>Output flow indicators</t>
  </si>
  <si>
    <t>Other indicators</t>
  </si>
  <si>
    <t>Biogenic carbon content of the product</t>
  </si>
  <si>
    <t>kg of C.</t>
  </si>
  <si>
    <t>Biogenic carbon content of the associated packaging</t>
  </si>
  <si>
    <t>Template Version</t>
  </si>
  <si>
    <t>Declared product Description</t>
  </si>
  <si>
    <t>Is it a Joint PEP?</t>
  </si>
  <si>
    <t>Is PEP about declared product?</t>
  </si>
  <si>
    <t xml:space="preserve">Dual air flow unit 250 m3/h – reference TOP1234 </t>
  </si>
  <si>
    <t xml:space="preserve">Transfer 1 m3/h of air per hour for the ventilation and/or air treatment and/or smoke exhaust and/or filtration of a building over the reference lifetime of 17 years. </t>
  </si>
  <si>
    <t>m³/h</t>
  </si>
  <si>
    <t xml:space="preserve">PEP-PCR-ed4-2021 09 06 </t>
  </si>
  <si>
    <t xml:space="preserve">PSR-0008-ed2.0-EN-2018 02 09 </t>
  </si>
  <si>
    <t>Calculated total</t>
  </si>
  <si>
    <t>Kg of Plastic</t>
  </si>
  <si>
    <t>Kg of Metal</t>
  </si>
  <si>
    <t>Kg of Other</t>
  </si>
  <si>
    <t>Kg Total</t>
  </si>
  <si>
    <t>Product Mass</t>
  </si>
  <si>
    <t>Product Mass Unit</t>
  </si>
  <si>
    <t>Packaging Mass</t>
  </si>
  <si>
    <t>Packaging Mass Unit</t>
  </si>
  <si>
    <t>Additional Elements Mass</t>
  </si>
  <si>
    <t>Additional Elements Mass Unit</t>
  </si>
  <si>
    <t>Only french PEP are allowed to be send to Inies Database. They must have all mandatory indicators filled.</t>
  </si>
  <si>
    <t>World</t>
  </si>
  <si>
    <t>Africa</t>
  </si>
  <si>
    <t>America</t>
  </si>
  <si>
    <t>Asia</t>
  </si>
  <si>
    <t>Europe</t>
  </si>
  <si>
    <t>Oceania</t>
  </si>
  <si>
    <t>European Union</t>
  </si>
  <si>
    <t>North Africa</t>
  </si>
  <si>
    <t>West Africa</t>
  </si>
  <si>
    <t>Central Africa</t>
  </si>
  <si>
    <t>East Africa</t>
  </si>
  <si>
    <t>Southern Africa</t>
  </si>
  <si>
    <t>North Ameria</t>
  </si>
  <si>
    <t>Caribbean</t>
  </si>
  <si>
    <t>Central America</t>
  </si>
  <si>
    <t>South America</t>
  </si>
  <si>
    <t>Central Asia</t>
  </si>
  <si>
    <t>South Asia</t>
  </si>
  <si>
    <t>North Europ</t>
  </si>
  <si>
    <t>Central Europa</t>
  </si>
  <si>
    <t>East Europa</t>
  </si>
  <si>
    <t>West Europa</t>
  </si>
  <si>
    <t>Far East</t>
  </si>
  <si>
    <t>Middle East</t>
  </si>
  <si>
    <t>Indian Subcontinent</t>
  </si>
  <si>
    <t>Total</t>
  </si>
  <si>
    <t>The reference of the product used to produce the PEP</t>
  </si>
  <si>
    <t>It's a single reference. 
This field is not for commercial references covered by the PEP.</t>
  </si>
  <si>
    <t>Date only according to  the Excel format</t>
  </si>
  <si>
    <t>You have to report here precisely the publication date specified in the PDF document</t>
  </si>
  <si>
    <t>Commercial references covered by the PEP</t>
  </si>
  <si>
    <t>Use Life-time in years</t>
  </si>
  <si>
    <t>PCR4 information</t>
  </si>
  <si>
    <t>General Informations</t>
  </si>
  <si>
    <t>Bill of Material</t>
  </si>
  <si>
    <t>Comments of BOM</t>
  </si>
  <si>
    <t>UF Extrapolation rules</t>
  </si>
  <si>
    <t>Declared Product</t>
  </si>
  <si>
    <t>Commercial references covered by the PEP as free text</t>
  </si>
  <si>
    <t>510 903 
510 905 
510 907 
510 912</t>
  </si>
  <si>
    <t>Homogeneous Environmental Family</t>
  </si>
  <si>
    <t>Energy Model Used</t>
  </si>
  <si>
    <t>unused</t>
  </si>
  <si>
    <t>Automatic</t>
  </si>
  <si>
    <t>Administrative Informations</t>
  </si>
  <si>
    <t>First level of classification</t>
  </si>
  <si>
    <t>Second level of classification, depending on the first level</t>
  </si>
  <si>
    <t>Third level of classification, depending on second level</t>
  </si>
  <si>
    <t>Last level of classification, depending on third level</t>
  </si>
  <si>
    <t>You have to select the highest level available of classification. If there is sublevels avaiable when you choose a level, you have to select a sublevel.</t>
  </si>
  <si>
    <t>Only for Declared Product 
(BC column = Yes)</t>
  </si>
  <si>
    <t>Tags</t>
  </si>
  <si>
    <t>Keywords linked to you declaration helping customers to search for you PEP</t>
  </si>
  <si>
    <t>.</t>
  </si>
  <si>
    <t>One tag by line ("alt+enter" for new line)</t>
  </si>
  <si>
    <t>One commercial reference by line ("alt+enter" for new line)</t>
  </si>
  <si>
    <t>Covered products by list</t>
  </si>
  <si>
    <t>Covered products or brand by text</t>
  </si>
  <si>
    <t>Thoses two fields could be use simultaneously.
The Reference Product (column L) will be automatically added in the covered products by list if you does'nt add it.</t>
  </si>
  <si>
    <t>Uninterruptible Power Systems</t>
  </si>
  <si>
    <t>UPS - VFD (Off Line)</t>
  </si>
  <si>
    <t>UPS - VFI &gt; 10kW (Online double conversion)</t>
  </si>
  <si>
    <t>UPS - VI (Line Interactive)</t>
  </si>
  <si>
    <t>EV Charging Infrastructures</t>
  </si>
  <si>
    <t>Individual Gas boiler</t>
  </si>
  <si>
    <t>Collective Gas boiler</t>
  </si>
  <si>
    <t>Water/Water</t>
  </si>
  <si>
    <t>Water/Air</t>
  </si>
  <si>
    <t>Air/Water</t>
  </si>
  <si>
    <t>Air/Air</t>
  </si>
  <si>
    <t>Author</t>
  </si>
  <si>
    <t>Billing-Contact Email</t>
  </si>
  <si>
    <t>Choice of  a submitter of the company to PEP ecopassport for registration.
Leave empty if it's your own PEP account.</t>
  </si>
  <si>
    <t>Industrial sockets</t>
  </si>
  <si>
    <t>Single-phase AC sockets</t>
  </si>
  <si>
    <t>Three-phase AC sockets</t>
  </si>
  <si>
    <t>Electrical sockets</t>
  </si>
  <si>
    <t>16A 2P+T reinforced Electrical sockets</t>
  </si>
  <si>
    <t>Private or semi-public Station</t>
  </si>
  <si>
    <t>Wall mounted or on base AC station</t>
  </si>
  <si>
    <t>Wall mounted or on base DC station</t>
  </si>
  <si>
    <t>Public station on base</t>
  </si>
  <si>
    <t>AC station</t>
  </si>
  <si>
    <t>DC station</t>
  </si>
  <si>
    <t>Only kg allowed</t>
  </si>
  <si>
    <t>PSR-0018-ed1-2021 09 13</t>
  </si>
  <si>
    <t>PSR-0001-ed4-2022 11 16</t>
  </si>
  <si>
    <t>PSR-0001-ed3-2015 10 16</t>
  </si>
  <si>
    <t>PSR-0002-ed3-2023 06 06</t>
  </si>
  <si>
    <t>PSR-0003-ed2-2023 06 06</t>
  </si>
  <si>
    <t>PSR-0005-ed3-2023 06 06</t>
  </si>
  <si>
    <t>PSR-0006-ed2-2023 06 06</t>
  </si>
  <si>
    <t>PSR-0007-ed2-2023 06 06</t>
  </si>
  <si>
    <t>PSR-0013-ed3-2023 06 06</t>
  </si>
  <si>
    <t>PSR-0019-ed1-2023 06 06</t>
  </si>
  <si>
    <t>Installation wiring devices for electric power and communication networks (= 63 amperes)</t>
  </si>
  <si>
    <t>true</t>
  </si>
  <si>
    <t>Heating, ventilation and air conditioning equipement</t>
  </si>
  <si>
    <t>false</t>
  </si>
  <si>
    <t>Cable management systems</t>
  </si>
  <si>
    <t xml:space="preserve">Earth leakage protection_x000D_
devices protecting against electric shock </t>
  </si>
  <si>
    <t>Storage tank</t>
  </si>
  <si>
    <t>Solar collector</t>
  </si>
  <si>
    <t>Drives for solar shadings</t>
  </si>
  <si>
    <t>Drives for gates, shop doors and garage for private houses</t>
  </si>
  <si>
    <t>Drives for gates, shop doors and garage for collective residential buildings</t>
  </si>
  <si>
    <t>Thermostats, programmable thermostats, hygrostats</t>
  </si>
  <si>
    <t>Arc fault detection and protection module</t>
  </si>
  <si>
    <t>Pliable conduit systems</t>
  </si>
  <si>
    <t>Conduit systems buried underground</t>
  </si>
  <si>
    <t>Slave luminaire for CPS (central power system) for open area = 150 lumen</t>
  </si>
  <si>
    <t>Drives for roller shutters</t>
  </si>
  <si>
    <t>Drives for vertical blinds (venetian, roller, vertical, pleated) internal or external</t>
  </si>
  <si>
    <t>Drives for awnings</t>
  </si>
  <si>
    <t>Drives for swing shutters</t>
  </si>
  <si>
    <t>Drives for sliding gates</t>
  </si>
  <si>
    <t>Drives for swing gates</t>
  </si>
  <si>
    <t>Drives for garage doors</t>
  </si>
  <si>
    <t>UPS - VFI = 10kW (Online double conversion)</t>
  </si>
  <si>
    <t>ID</t>
  </si>
  <si>
    <t>Water scarcity</t>
  </si>
  <si>
    <t>Ecotoxicity, fresh water</t>
  </si>
  <si>
    <t>Human toxicity, cancer effects</t>
  </si>
  <si>
    <t>Human toxicity, non-cancer effects</t>
  </si>
  <si>
    <t>kWc</t>
  </si>
  <si>
    <t>cm²</t>
  </si>
  <si>
    <t>mm²</t>
  </si>
  <si>
    <t>kg/UF</t>
  </si>
  <si>
    <t>lb</t>
  </si>
  <si>
    <t>g/m</t>
  </si>
  <si>
    <t>m³/s</t>
  </si>
  <si>
    <t>PSR-0004-ed4-2019 03 14</t>
  </si>
  <si>
    <t>PSR-0014-ed2-2023 07 13</t>
  </si>
  <si>
    <t>PSR-0008-ed3-2023 10 19</t>
  </si>
  <si>
    <t>PSR-0004-ed5.0-2023 10 19</t>
  </si>
  <si>
    <t>PSR-0009-ed3.0-2023 10 19</t>
  </si>
  <si>
    <t>PSR-0010-ed2.0-2023 12 08</t>
  </si>
  <si>
    <t>PSR-0012-ed2.0-2023 10 19</t>
  </si>
  <si>
    <t>PSR-0017-ed2.0-2023 10 19</t>
  </si>
  <si>
    <t>PSR-0003-ed2.1-2023 12 08</t>
  </si>
  <si>
    <t>PSR-0005-ed3.1-2023 12 08</t>
  </si>
  <si>
    <t>PSR-0006-ed2.1-2023 12 08</t>
  </si>
  <si>
    <t>PSR-0007-ed2.1-2023 12 08</t>
  </si>
  <si>
    <t>PSR-0018-ed1.1-2024 01 31</t>
  </si>
  <si>
    <t>PSR-0016-ed2-2023 06 06</t>
  </si>
  <si>
    <t>PSR-0018-ed1.2-2024 09 26</t>
  </si>
  <si>
    <t>PSR-0018-ed2.1-2024 09 26</t>
  </si>
  <si>
    <t>Electric and electronic equipment</t>
  </si>
  <si>
    <t>Medium voltage cables &lt;30kV &amp;&gt; 1kV</t>
  </si>
  <si>
    <t>High voltage cables &gt; 30kV</t>
  </si>
  <si>
    <t>Domestic heat pumps</t>
  </si>
  <si>
    <t>Radiant solutions</t>
  </si>
  <si>
    <t>Hot water radiators</t>
  </si>
  <si>
    <t>Radiant floor, ceiling or wall</t>
  </si>
  <si>
    <t>Hot water towel dryers</t>
  </si>
  <si>
    <t>Drives for solar shadings and gates/doors</t>
  </si>
  <si>
    <t>Drives for other blind products</t>
  </si>
  <si>
    <t>Collective or tertiary heat pumps</t>
  </si>
  <si>
    <t>Transportation of people or goods in buildings</t>
  </si>
  <si>
    <t>Lifts or Elevators</t>
  </si>
  <si>
    <t>Escalators or Moving walks</t>
  </si>
  <si>
    <t>If you used a PSR not listed here, please note that this template is updated once or twice a year. You will have more PSR available in the database registration, and you will be able to select it on the PEP Ecopassport© platform after importing this template.</t>
  </si>
  <si>
    <t>Use/Maintenance</t>
  </si>
  <si>
    <t>Use/Repair</t>
  </si>
  <si>
    <t>Use/Replacement</t>
  </si>
  <si>
    <t>Use/Refurbishment</t>
  </si>
  <si>
    <t>Use/Operational Energy Use</t>
  </si>
  <si>
    <t>Use/Operational Water Use</t>
  </si>
  <si>
    <t>A1+A2+A3</t>
  </si>
  <si>
    <t>B stage</t>
  </si>
  <si>
    <t>C stage</t>
  </si>
  <si>
    <t>Manufacturing stage</t>
  </si>
  <si>
    <t>Distribution stage</t>
  </si>
  <si>
    <t>Installation stage</t>
  </si>
  <si>
    <t>Use stage</t>
  </si>
  <si>
    <t>End of Life stage</t>
  </si>
  <si>
    <t>PSR-0004-ed5.1-2025 06 17</t>
  </si>
  <si>
    <t>PSR-0008-ed3.1-2025 06 17</t>
  </si>
  <si>
    <t>PSR-0011-ed2.0-2023 06 06</t>
  </si>
  <si>
    <t>PSR-0012-ed2.1-2025 06 17</t>
  </si>
  <si>
    <t>PSR-0013-ed3.1-2025 06 17</t>
  </si>
  <si>
    <t>PSR-0013-ed3.1-2025 10 20</t>
  </si>
  <si>
    <t>PSR-0015-ed2-2025 06 17</t>
  </si>
  <si>
    <t>PSR-0018-ed1.3-2025 04 08</t>
  </si>
  <si>
    <t>PSR-0013 - ANNEX-ed3-2025 06 17</t>
  </si>
  <si>
    <t>PSR-0018-ANNEXE-ed1.3-2024 09 26</t>
  </si>
  <si>
    <t>PSR-0018-ANNEXE-ed1.4-2025 04 08</t>
  </si>
  <si>
    <t>PSR-0018-ANNEXE-ed3.1-2024 09 26</t>
  </si>
  <si>
    <t>PSR-PSR-0020 - ACCESS CONTROL PRODUCTS-ed1-2025 11 03</t>
  </si>
  <si>
    <t>Technical-Contact First name</t>
  </si>
  <si>
    <t>Technical-Contact Last name</t>
  </si>
  <si>
    <t>Billing-Contact First name</t>
  </si>
  <si>
    <t>Billing-Contact Last name</t>
  </si>
  <si>
    <t>PSR-0013 - ANNEX-ed3-2025 11 12</t>
  </si>
  <si>
    <t>PSR-0013-ed3.2-2025 10 20</t>
  </si>
  <si>
    <t>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</si>
</sst>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00000000000"/>
    <numFmt numFmtId="165" formatCode="0.0000000000000000000000000_ ;[Red]\-0.0000000000000000000000000\ "/>
    <numFmt numFmtId="166" formatCode="mm/yyyy"/>
    <numFmt numFmtId="167" formatCode="0.00_ ;[Red]\-0.00\ "/>
    <numFmt numFmtId="168" formatCode="#0.000&quot; kg&quot;"/>
    <numFmt numFmtId="169" formatCode="#0.00&quot; %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2" fillId="0" borderId="0"/>
  </cellStyleXfs>
  <cellXfs count="17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wrapText="1"/>
    </xf>
    <xf numFmtId="0" fontId="3" fillId="2" borderId="3" xfId="0" applyFont="1" applyFill="1" applyBorder="1" applyAlignment="1">
      <alignment vertical="center"/>
    </xf>
    <xf numFmtId="164" fontId="3" fillId="2" borderId="3" xfId="0" applyNumberFormat="1" applyFont="1" applyFill="1" applyBorder="1" applyAlignment="1">
      <alignment vertical="center"/>
    </xf>
    <xf numFmtId="0" fontId="0" fillId="2" borderId="8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3" fillId="2" borderId="6" xfId="0" applyFont="1" applyFill="1" applyBorder="1" applyAlignment="1">
      <alignment vertical="center"/>
    </xf>
    <xf numFmtId="164" fontId="3" fillId="2" borderId="6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2" xfId="0" applyFill="1" applyBorder="1"/>
    <xf numFmtId="165" fontId="3" fillId="0" borderId="3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0" fontId="0" fillId="2" borderId="8" xfId="0" applyFill="1" applyBorder="1"/>
    <xf numFmtId="165" fontId="3" fillId="0" borderId="9" xfId="0" applyNumberFormat="1" applyFont="1" applyBorder="1" applyAlignment="1">
      <alignment vertical="center"/>
    </xf>
    <xf numFmtId="0" fontId="0" fillId="2" borderId="5" xfId="0" applyFill="1" applyBorder="1"/>
    <xf numFmtId="165" fontId="3" fillId="0" borderId="6" xfId="0" applyNumberFormat="1" applyFont="1" applyBorder="1" applyAlignment="1">
      <alignment vertical="center"/>
    </xf>
    <xf numFmtId="165" fontId="3" fillId="0" borderId="7" xfId="0" applyNumberFormat="1" applyFont="1" applyBorder="1" applyAlignment="1">
      <alignment vertical="center"/>
    </xf>
    <xf numFmtId="0" fontId="4" fillId="2" borderId="10" xfId="0" applyFont="1" applyFill="1" applyBorder="1"/>
    <xf numFmtId="0" fontId="4" fillId="2" borderId="11" xfId="0" applyFont="1" applyFill="1" applyBorder="1" applyAlignment="1">
      <alignment horizontal="left" indent="2"/>
    </xf>
    <xf numFmtId="0" fontId="4" fillId="2" borderId="12" xfId="0" applyFont="1" applyFill="1" applyBorder="1" applyAlignment="1">
      <alignment horizontal="left" indent="2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6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vertical="center"/>
    </xf>
    <xf numFmtId="0" fontId="0" fillId="2" borderId="8" xfId="0" applyFill="1" applyBorder="1" applyAlignment="1">
      <alignment vertical="center" wrapText="1"/>
    </xf>
    <xf numFmtId="0" fontId="7" fillId="2" borderId="0" xfId="0" applyFont="1" applyFill="1" applyAlignment="1">
      <alignment horizontal="center"/>
    </xf>
    <xf numFmtId="164" fontId="3" fillId="0" borderId="3" xfId="0" applyNumberFormat="1" applyFont="1" applyBorder="1" applyAlignment="1" applyProtection="1">
      <alignment vertical="center"/>
      <protection locked="0"/>
    </xf>
    <xf numFmtId="164" fontId="3" fillId="0" borderId="4" xfId="0" applyNumberFormat="1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164" fontId="3" fillId="0" borderId="9" xfId="0" applyNumberFormat="1" applyFont="1" applyBorder="1" applyAlignment="1" applyProtection="1">
      <alignment vertical="center"/>
      <protection locked="0"/>
    </xf>
    <xf numFmtId="164" fontId="3" fillId="0" borderId="6" xfId="0" applyNumberFormat="1" applyFont="1" applyBorder="1" applyAlignment="1" applyProtection="1">
      <alignment vertical="center"/>
      <protection locked="0"/>
    </xf>
    <xf numFmtId="164" fontId="3" fillId="0" borderId="7" xfId="0" applyNumberFormat="1" applyFont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0" fillId="0" borderId="9" xfId="0" applyBorder="1" applyProtection="1">
      <protection locked="0"/>
    </xf>
    <xf numFmtId="164" fontId="3" fillId="0" borderId="32" xfId="0" applyNumberFormat="1" applyFont="1" applyBorder="1" applyAlignment="1" applyProtection="1">
      <alignment vertical="center"/>
      <protection locked="0"/>
    </xf>
    <xf numFmtId="0" fontId="0" fillId="0" borderId="32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7" xfId="0" applyBorder="1" applyProtection="1">
      <protection locked="0"/>
    </xf>
    <xf numFmtId="168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168" fontId="0" fillId="0" borderId="1" xfId="0" applyNumberFormat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169" fontId="0" fillId="0" borderId="1" xfId="0" applyNumberFormat="1" applyBorder="1" applyAlignment="1" applyProtection="1">
      <alignment horizontal="center" vertical="center" wrapText="1"/>
      <protection locked="0"/>
    </xf>
    <xf numFmtId="166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6" xfId="0" applyFill="1" applyBorder="1" applyAlignment="1">
      <alignment vertical="center" wrapText="1"/>
    </xf>
    <xf numFmtId="0" fontId="0" fillId="2" borderId="37" xfId="0" applyFill="1" applyBorder="1" applyAlignment="1">
      <alignment vertical="center" wrapText="1"/>
    </xf>
    <xf numFmtId="166" fontId="0" fillId="0" borderId="1" xfId="0" applyNumberFormat="1" applyBorder="1" applyAlignment="1" applyProtection="1">
      <alignment horizontal="center" vertical="center" wrapText="1"/>
      <protection locked="0"/>
    </xf>
    <xf numFmtId="0" fontId="1" fillId="2" borderId="36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36" xfId="0" applyBorder="1" applyAlignment="1" applyProtection="1">
      <alignment horizontal="center" vertical="center" wrapText="1"/>
      <protection locked="0"/>
    </xf>
    <xf numFmtId="0" fontId="0" fillId="2" borderId="36" xfId="0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left" vertical="center" wrapText="1"/>
    </xf>
    <xf numFmtId="0" fontId="0" fillId="2" borderId="34" xfId="0" applyFill="1" applyBorder="1" applyAlignment="1">
      <alignment horizontal="left" vertical="center"/>
    </xf>
    <xf numFmtId="0" fontId="1" fillId="2" borderId="34" xfId="0" applyFont="1" applyFill="1" applyBorder="1" applyAlignment="1">
      <alignment horizontal="right" vertical="center"/>
    </xf>
    <xf numFmtId="0" fontId="1" fillId="2" borderId="34" xfId="0" applyFont="1" applyFill="1" applyBorder="1" applyAlignment="1">
      <alignment horizontal="right" vertical="center" wrapText="1"/>
    </xf>
    <xf numFmtId="0" fontId="1" fillId="2" borderId="34" xfId="0" applyFont="1" applyFill="1" applyBorder="1" applyAlignment="1">
      <alignment horizontal="center" vertical="center" wrapText="1"/>
    </xf>
    <xf numFmtId="49" fontId="0" fillId="0" borderId="9" xfId="0" applyNumberFormat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36" xfId="0" applyFill="1" applyBorder="1" applyAlignment="1">
      <alignment horizontal="center" vertical="center"/>
    </xf>
    <xf numFmtId="0" fontId="0" fillId="2" borderId="36" xfId="0" applyFill="1" applyBorder="1" applyAlignment="1">
      <alignment horizontal="left" vertical="center" wrapText="1"/>
    </xf>
    <xf numFmtId="167" fontId="0" fillId="0" borderId="8" xfId="0" applyNumberFormat="1" applyBorder="1" applyAlignment="1" applyProtection="1">
      <alignment horizontal="center" vertical="center" wrapText="1"/>
      <protection locked="0"/>
    </xf>
    <xf numFmtId="167" fontId="0" fillId="2" borderId="8" xfId="0" applyNumberFormat="1" applyFill="1" applyBorder="1" applyAlignment="1">
      <alignment horizontal="center" vertical="center" wrapText="1"/>
    </xf>
    <xf numFmtId="167" fontId="0" fillId="2" borderId="5" xfId="0" applyNumberForma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10" fontId="0" fillId="2" borderId="6" xfId="0" applyNumberFormat="1" applyFill="1" applyBorder="1" applyAlignment="1">
      <alignment horizontal="left" vertical="center" wrapText="1"/>
    </xf>
    <xf numFmtId="0" fontId="0" fillId="2" borderId="45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0" xfId="0" applyFill="1" applyAlignment="1">
      <alignment horizontal="center" vertical="center" textRotation="90"/>
    </xf>
    <xf numFmtId="0" fontId="3" fillId="2" borderId="31" xfId="0" applyFont="1" applyFill="1" applyBorder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textRotation="90" wrapText="1"/>
    </xf>
    <xf numFmtId="0" fontId="3" fillId="2" borderId="27" xfId="0" applyFont="1" applyFill="1" applyBorder="1" applyAlignment="1">
      <alignment horizontal="center" vertical="center" textRotation="90" wrapText="1"/>
    </xf>
    <xf numFmtId="14" fontId="0" fillId="2" borderId="0" xfId="0" applyNumberFormat="1" applyFill="1" applyAlignment="1">
      <alignment horizontal="center" vertical="center"/>
    </xf>
    <xf numFmtId="0" fontId="0" fillId="2" borderId="25" xfId="0" applyFill="1" applyBorder="1" applyAlignment="1">
      <alignment vertical="center" textRotation="90"/>
    </xf>
    <xf numFmtId="0" fontId="0" fillId="2" borderId="38" xfId="0" applyFill="1" applyBorder="1" applyAlignment="1">
      <alignment vertical="center" textRotation="90"/>
    </xf>
    <xf numFmtId="0" fontId="0" fillId="2" borderId="31" xfId="0" applyFill="1" applyBorder="1" applyAlignment="1">
      <alignment vertical="center" textRotation="90"/>
    </xf>
    <xf numFmtId="0" fontId="0" fillId="2" borderId="39" xfId="0" applyFill="1" applyBorder="1" applyAlignment="1">
      <alignment vertical="center" textRotation="90"/>
    </xf>
    <xf numFmtId="0" fontId="0" fillId="2" borderId="27" xfId="0" applyFill="1" applyBorder="1" applyAlignment="1">
      <alignment vertical="center" textRotation="90"/>
    </xf>
    <xf numFmtId="0" fontId="0" fillId="2" borderId="40" xfId="0" applyFill="1" applyBorder="1" applyAlignment="1">
      <alignment vertical="center" textRotation="90"/>
    </xf>
    <xf numFmtId="0" fontId="0" fillId="2" borderId="21" xfId="0" applyFill="1" applyBorder="1" applyAlignment="1">
      <alignment vertical="center" textRotation="90"/>
    </xf>
    <xf numFmtId="0" fontId="0" fillId="2" borderId="22" xfId="0" applyFill="1" applyBorder="1" applyAlignment="1">
      <alignment vertical="center" textRotation="90"/>
    </xf>
    <xf numFmtId="0" fontId="0" fillId="2" borderId="23" xfId="0" applyFill="1" applyBorder="1" applyAlignment="1">
      <alignment vertical="center" textRotation="90"/>
    </xf>
    <xf numFmtId="0" fontId="3" fillId="2" borderId="21" xfId="0" applyFont="1" applyFill="1" applyBorder="1" applyAlignment="1">
      <alignment vertical="center" textRotation="90" wrapText="1"/>
    </xf>
    <xf numFmtId="0" fontId="3" fillId="2" borderId="22" xfId="0" applyFont="1" applyFill="1" applyBorder="1" applyAlignment="1">
      <alignment vertical="center" textRotation="90" wrapText="1"/>
    </xf>
    <xf numFmtId="0" fontId="3" fillId="2" borderId="35" xfId="0" applyFont="1" applyFill="1" applyBorder="1" applyAlignment="1">
      <alignment vertical="center" textRotation="90" wrapText="1"/>
    </xf>
    <xf numFmtId="0" fontId="1" fillId="2" borderId="16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right" vertical="center"/>
    </xf>
    <xf numFmtId="0" fontId="1" fillId="2" borderId="17" xfId="0" applyFont="1" applyFill="1" applyBorder="1" applyAlignment="1">
      <alignment horizontal="right" vertical="center"/>
    </xf>
    <xf numFmtId="0" fontId="1" fillId="2" borderId="18" xfId="0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center" vertical="center" textRotation="90" wrapText="1"/>
    </xf>
    <xf numFmtId="0" fontId="3" fillId="2" borderId="22" xfId="0" applyFont="1" applyFill="1" applyBorder="1" applyAlignment="1">
      <alignment horizontal="center" vertical="center" textRotation="90" wrapText="1"/>
    </xf>
    <xf numFmtId="0" fontId="3" fillId="2" borderId="23" xfId="0" applyFont="1" applyFill="1" applyBorder="1" applyAlignment="1">
      <alignment horizontal="center" vertical="center" textRotation="90" wrapText="1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5" xfId="0" applyFill="1" applyBorder="1" applyAlignment="1">
      <alignment horizontal="center" vertical="center" textRotation="90"/>
    </xf>
    <xf numFmtId="0" fontId="0" fillId="2" borderId="31" xfId="0" applyFill="1" applyBorder="1" applyAlignment="1">
      <alignment horizontal="center" vertical="center" textRotation="90"/>
    </xf>
    <xf numFmtId="0" fontId="0" fillId="2" borderId="27" xfId="0" applyFill="1" applyBorder="1" applyAlignment="1">
      <alignment horizontal="center" vertical="center" textRotation="90"/>
    </xf>
    <xf numFmtId="0" fontId="0" fillId="2" borderId="38" xfId="0" applyFill="1" applyBorder="1" applyAlignment="1">
      <alignment horizontal="center" vertical="center" textRotation="90"/>
    </xf>
    <xf numFmtId="0" fontId="0" fillId="2" borderId="39" xfId="0" applyFill="1" applyBorder="1" applyAlignment="1">
      <alignment horizontal="center" vertical="center" textRotation="90"/>
    </xf>
    <xf numFmtId="0" fontId="0" fillId="2" borderId="40" xfId="0" applyFill="1" applyBorder="1" applyAlignment="1">
      <alignment horizontal="center" vertical="center" textRotation="90"/>
    </xf>
    <xf numFmtId="0" fontId="6" fillId="3" borderId="0" xfId="0" applyFont="1" applyFill="1" applyAlignment="1">
      <alignment horizontal="center"/>
    </xf>
  </cellXfs>
  <cellStyles count="3">
    <cellStyle name="Normal" xfId="0" builtinId="0"/>
    <cellStyle name="Normal 2" xfId="1" xr:uid="{BCF226D8-357C-4C3D-B045-78739610E32D}"/>
    <cellStyle name="Normal 6" xfId="2" xr:uid="{5EF3D67E-5BB8-4506-BA62-F08BADC5CC66}"/>
  </cellStyles>
  <dxfs count="42">
    <dxf>
      <fill>
        <patternFill>
          <bgColor theme="9" tint="0.79998168889431442"/>
        </patternFill>
      </fill>
    </dxf>
    <dxf>
      <fill>
        <patternFill>
          <bgColor rgb="FFFF8181"/>
        </patternFill>
      </fill>
    </dxf>
    <dxf>
      <fill>
        <patternFill>
          <bgColor theme="9" tint="0.79998168889431442"/>
        </patternFill>
      </fill>
    </dxf>
    <dxf>
      <fill>
        <patternFill>
          <bgColor rgb="FFFF8181"/>
        </patternFill>
      </fill>
    </dxf>
    <dxf>
      <fill>
        <patternFill>
          <bgColor theme="9" tint="0.79998168889431442"/>
        </patternFill>
      </fill>
    </dxf>
    <dxf>
      <fill>
        <patternFill>
          <bgColor rgb="FFFF818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9E14B5-3851-4962-89A7-518D2968AAE4}" name="Tableau_Units" displayName="Tableau_Units" ref="A2:B32" totalsRowShown="0" headerRowDxfId="41" dataDxfId="40">
  <autoFilter ref="A2:B32" xr:uid="{709E14B5-3851-4962-89A7-518D2968AAE4}"/>
  <tableColumns count="2">
    <tableColumn id="2" xr3:uid="{3325E78F-D81A-4F8F-8DA1-DFE021304BC3}" name="code" dataDxfId="39"/>
    <tableColumn id="1" xr3:uid="{54276A52-CC93-4D0B-B5A8-BF9DA0DAA23E}" name="Units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18FAB-9005-4CBF-8EAE-5C510362733E}" name="Tableau_Units_Mass" displayName="Tableau_Units_Mass" ref="D2:E3" totalsRowShown="0" headerRowDxfId="37" dataDxfId="36">
  <autoFilter ref="D2:E3" xr:uid="{BEC18FAB-9005-4CBF-8EAE-5C510362733E}"/>
  <tableColumns count="2">
    <tableColumn id="2" xr3:uid="{00183E13-BC32-46EF-AC1A-8DEB6BB88C67}" name="code" dataDxfId="35"/>
    <tableColumn id="1" xr3:uid="{29613BAB-121B-4F0E-80F3-3CC1F4A5D3C5}" name="Units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4D4D7F-635A-4967-8C03-4E5D790A1A68}" name="Tableau_PCR" displayName="Tableau_PCR" ref="A3:B6" totalsRowShown="0" headerRowDxfId="33" dataDxfId="32">
  <autoFilter ref="A3:B6" xr:uid="{BE4D4D7F-635A-4967-8C03-4E5D790A1A68}"/>
  <tableColumns count="2">
    <tableColumn id="2" xr3:uid="{273290B2-4EDC-4FAC-B8B9-08EEC442DCC0}" name="Code" dataDxfId="31"/>
    <tableColumn id="1" xr3:uid="{0BA8EC64-298E-4602-BFF7-06477AC2703C}" name="PCR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6482DD-5EAE-4E2F-9AC1-2980CE5DBD7F}" name="Tableau_PSR" displayName="Tableau_PSR" ref="D3:E78" totalsRowShown="0" headerRowDxfId="29">
  <autoFilter ref="D3:E78" xr:uid="{306482DD-5EAE-4E2F-9AC1-2980CE5DBD7F}"/>
  <sortState xmlns:xlrd2="http://schemas.microsoft.com/office/spreadsheetml/2017/richdata2" ref="D4:E38">
    <sortCondition ref="E5:E38"/>
  </sortState>
  <tableColumns count="2">
    <tableColumn id="2" xr3:uid="{7D5A23FA-9A48-42E6-873C-CFBFBD7B565A}" name="Code" dataDxfId="28"/>
    <tableColumn id="1" xr3:uid="{57AF54D0-C397-4D99-92A3-ACACCA3C9701}" name="PSR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0EDEC2-0B4B-4334-99B0-45949E783AD6}" name="Tableau_Zone" displayName="Tableau_Zone" ref="G3:H277" totalsRowShown="0" headerRowDxfId="26" dataDxfId="25">
  <autoFilter ref="G3:H277" xr:uid="{210EDEC2-0B4B-4334-99B0-45949E783AD6}"/>
  <sortState xmlns:xlrd2="http://schemas.microsoft.com/office/spreadsheetml/2017/richdata2" ref="G4:H277">
    <sortCondition ref="H277"/>
  </sortState>
  <tableColumns count="2">
    <tableColumn id="2" xr3:uid="{F894AC15-713B-44C6-94D4-C682ADEF64C6}" name="Code" dataDxfId="24"/>
    <tableColumn id="1" xr3:uid="{7FC79A2A-6C10-4A87-AD57-A5A9390A3931}" name="Zone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4B2540-5AAC-4823-B489-C6A8B705D235}" name="Tableau_Bool" displayName="Tableau_Bool" ref="J3:J5" totalsRowShown="0" headerRowDxfId="22" dataDxfId="21">
  <autoFilter ref="J3:J5" xr:uid="{894B2540-5AAC-4823-B489-C6A8B705D235}"/>
  <tableColumns count="1">
    <tableColumn id="1" xr3:uid="{B34A2294-6EFC-47AF-8979-DC62CBDB9A24}" name="Boolean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0256C-88DF-4157-A403-2B93B7A12FB7}" name="Tableau_SendMode" displayName="Tableau_SendMode" ref="A18:B21" totalsRowShown="0">
  <autoFilter ref="A18:B21" xr:uid="{1200256C-88DF-4157-A403-2B93B7A12FB7}"/>
  <tableColumns count="2">
    <tableColumn id="1" xr3:uid="{CDC8C906-7A90-4FEC-BE58-466A774ADDBB}" name="Code" dataDxfId="19"/>
    <tableColumn id="2" xr3:uid="{3914106D-17E5-4E80-A15E-512E8122B666}" name="Send mode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8242522-9952-470A-BBEF-43C82F8164F3}" name="Tableau_Nomenclature" displayName="Tableau_Nomenclature" ref="B2:F402" totalsRowShown="0" dataDxfId="17">
  <autoFilter ref="B2:F402" xr:uid="{696A0318-BADA-40B3-97E0-4778BA72FDD0}"/>
  <sortState xmlns:xlrd2="http://schemas.microsoft.com/office/spreadsheetml/2017/richdata2" ref="B3:F387">
    <sortCondition ref="B2:B387"/>
  </sortState>
  <tableColumns count="5">
    <tableColumn id="1" xr3:uid="{E86FB85D-A3DE-4D37-B2BE-C27EB74FA485}" name="id" dataDxfId="16"/>
    <tableColumn id="2" xr3:uid="{2017AFF2-1CA9-4F7A-906D-F9FDE15E6D33}" name="EN-Designation"/>
    <tableColumn id="3" xr3:uid="{C5498294-39A5-4443-9786-81615227F4C9}" name="idParent" dataDxfId="15"/>
    <tableColumn id="4" xr3:uid="{97F581A9-3465-4B34-8137-7BCEF716CE89}" name="tree_level" dataDxfId="14"/>
    <tableColumn id="6" xr3:uid="{BFDE76D3-E865-45A0-ADC4-4329277463A2}" name="has_children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53DA-E7A2-4032-97B0-626BAF8245EE}">
  <sheetPr codeName="Feuil1">
    <tabColor rgb="FF92D050"/>
  </sheetPr>
  <dimension ref="A1:BR8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baseColWidth="10" defaultColWidth="11.42578125" defaultRowHeight="15" x14ac:dyDescent="0.25"/>
  <cols>
    <col min="1" max="1" width="14" style="36" bestFit="1" customWidth="1"/>
    <col min="2" max="2" width="82.42578125" style="2" customWidth="1"/>
    <col min="3" max="3" width="27.42578125" style="2" customWidth="1"/>
    <col min="4" max="4" width="21.28515625" style="2" hidden="1" customWidth="1"/>
    <col min="5" max="5" width="80.7109375" style="2" customWidth="1"/>
    <col min="6" max="6" width="10.42578125" style="2" hidden="1" customWidth="1"/>
    <col min="7" max="7" width="80.7109375" style="2" customWidth="1"/>
    <col min="8" max="8" width="10.42578125" style="2" hidden="1" customWidth="1"/>
    <col min="9" max="9" width="55" style="2" bestFit="1" customWidth="1"/>
    <col min="10" max="10" width="10.7109375" style="2" hidden="1" customWidth="1"/>
    <col min="11" max="11" width="55" style="2" bestFit="1" customWidth="1"/>
    <col min="12" max="12" width="43.42578125" style="2" bestFit="1" customWidth="1"/>
    <col min="13" max="13" width="59.140625" style="2" customWidth="1"/>
    <col min="14" max="14" width="23" style="2" bestFit="1" customWidth="1"/>
    <col min="15" max="15" width="10.7109375" style="2" hidden="1" customWidth="1"/>
    <col min="16" max="16" width="30.7109375" style="2" customWidth="1"/>
    <col min="17" max="17" width="17" style="2" bestFit="1" customWidth="1"/>
    <col min="18" max="18" width="10.7109375" style="2" hidden="1" customWidth="1"/>
    <col min="19" max="19" width="40.7109375" style="2" customWidth="1"/>
    <col min="20" max="20" width="10.7109375" style="2" hidden="1" customWidth="1"/>
    <col min="21" max="21" width="40.7109375" style="2" customWidth="1"/>
    <col min="22" max="22" width="20.140625" style="2" customWidth="1"/>
    <col min="23" max="23" width="16.42578125" style="2" hidden="1" customWidth="1"/>
    <col min="24" max="24" width="31.7109375" style="2" customWidth="1"/>
    <col min="25" max="26" width="35.5703125" style="2" customWidth="1"/>
    <col min="27" max="27" width="11.42578125" style="2" customWidth="1"/>
    <col min="28" max="28" width="10.7109375" style="36" hidden="1" customWidth="1"/>
    <col min="29" max="35" width="30.7109375" style="2" customWidth="1"/>
    <col min="36" max="37" width="11.5703125" style="2" bestFit="1" customWidth="1"/>
    <col min="38" max="38" width="15.7109375" style="2" bestFit="1" customWidth="1"/>
    <col min="39" max="39" width="17.28515625" style="2" customWidth="1"/>
    <col min="40" max="40" width="16.42578125" style="2" bestFit="1" customWidth="1"/>
    <col min="41" max="41" width="15.85546875" style="2" bestFit="1" customWidth="1"/>
    <col min="42" max="42" width="15.7109375" style="2" bestFit="1" customWidth="1"/>
    <col min="43" max="43" width="17.28515625" style="2" customWidth="1"/>
    <col min="44" max="44" width="23.28515625" style="2" customWidth="1"/>
    <col min="45" max="45" width="20.7109375" style="2" bestFit="1" customWidth="1"/>
    <col min="46" max="46" width="25.42578125" style="2" bestFit="1" customWidth="1"/>
    <col min="47" max="47" width="24.85546875" style="2" bestFit="1" customWidth="1"/>
    <col min="48" max="48" width="22.28515625" style="2" customWidth="1"/>
    <col min="49" max="49" width="22.5703125" style="2" bestFit="1" customWidth="1"/>
    <col min="50" max="50" width="22.42578125" style="2" bestFit="1" customWidth="1"/>
    <col min="51" max="51" width="21" style="2" bestFit="1" customWidth="1"/>
    <col min="52" max="52" width="21.42578125" style="2" bestFit="1" customWidth="1"/>
    <col min="53" max="53" width="18.28515625" style="2" customWidth="1"/>
    <col min="54" max="54" width="17.7109375" style="2" customWidth="1"/>
    <col min="55" max="55" width="13.85546875" style="2" bestFit="1" customWidth="1"/>
    <col min="56" max="56" width="20.42578125" style="2" bestFit="1" customWidth="1"/>
    <col min="57" max="57" width="29" style="2" bestFit="1" customWidth="1"/>
    <col min="58" max="58" width="27.42578125" style="2" bestFit="1" customWidth="1"/>
    <col min="59" max="59" width="24.7109375" style="2" bestFit="1" customWidth="1"/>
    <col min="60" max="60" width="10.7109375" style="36" hidden="1" customWidth="1"/>
    <col min="61" max="61" width="20.5703125" style="2" bestFit="1" customWidth="1"/>
    <col min="62" max="62" width="26.140625" style="2" bestFit="1" customWidth="1"/>
    <col min="63" max="63" width="29.28515625" style="2" bestFit="1" customWidth="1"/>
    <col min="64" max="64" width="10.7109375" style="36" hidden="1" customWidth="1"/>
    <col min="65" max="65" width="21.28515625" style="2" bestFit="1" customWidth="1"/>
    <col min="66" max="66" width="10.7109375" style="36" hidden="1" customWidth="1"/>
    <col min="67" max="67" width="29" style="2" bestFit="1" customWidth="1"/>
    <col min="68" max="68" width="10.7109375" style="36" hidden="1" customWidth="1"/>
    <col min="69" max="69" width="30.28515625" style="2" bestFit="1" customWidth="1"/>
    <col min="70" max="70" width="33.85546875" style="2" customWidth="1"/>
    <col min="71" max="16384" width="11.42578125" style="2"/>
  </cols>
  <sheetData>
    <row r="1" spans="1:70" s="36" customFormat="1" ht="25.5" customHeight="1" x14ac:dyDescent="0.25">
      <c r="A1" s="102"/>
      <c r="B1" s="151" t="s">
        <v>880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3"/>
      <c r="Y1" s="143" t="s">
        <v>887</v>
      </c>
      <c r="Z1" s="144"/>
      <c r="AA1" s="145" t="s">
        <v>881</v>
      </c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4"/>
      <c r="AS1" s="110"/>
      <c r="AT1" s="145" t="s">
        <v>891</v>
      </c>
      <c r="AU1" s="143"/>
      <c r="AV1" s="143"/>
      <c r="AW1" s="143"/>
      <c r="AX1" s="143"/>
      <c r="AY1" s="143"/>
      <c r="AZ1" s="143"/>
      <c r="BA1" s="143"/>
      <c r="BB1" s="143"/>
      <c r="BC1" s="143"/>
      <c r="BD1" s="9"/>
      <c r="BE1" s="141" t="s">
        <v>884</v>
      </c>
      <c r="BF1" s="142"/>
      <c r="BG1" s="142"/>
      <c r="BH1" s="142"/>
      <c r="BI1" s="142"/>
      <c r="BJ1" s="142"/>
      <c r="BK1" s="141" t="s">
        <v>4</v>
      </c>
      <c r="BL1" s="142"/>
      <c r="BM1" s="142"/>
      <c r="BN1" s="142"/>
      <c r="BO1" s="142"/>
      <c r="BP1" s="142"/>
      <c r="BQ1" s="142"/>
    </row>
    <row r="2" spans="1:70" s="39" customFormat="1" x14ac:dyDescent="0.25">
      <c r="A2" s="103" t="s">
        <v>409</v>
      </c>
      <c r="B2" s="90" t="s">
        <v>0</v>
      </c>
      <c r="C2" s="4" t="s">
        <v>1</v>
      </c>
      <c r="D2" s="4" t="s">
        <v>790</v>
      </c>
      <c r="E2" s="4" t="s">
        <v>444</v>
      </c>
      <c r="F2" s="4" t="s">
        <v>790</v>
      </c>
      <c r="G2" s="4" t="s">
        <v>445</v>
      </c>
      <c r="H2" s="4" t="s">
        <v>790</v>
      </c>
      <c r="I2" s="4" t="s">
        <v>443</v>
      </c>
      <c r="J2" s="4" t="s">
        <v>790</v>
      </c>
      <c r="K2" s="4" t="s">
        <v>446</v>
      </c>
      <c r="L2" s="4" t="s">
        <v>447</v>
      </c>
      <c r="M2" s="4" t="s">
        <v>448</v>
      </c>
      <c r="N2" s="4" t="s">
        <v>449</v>
      </c>
      <c r="O2" s="4" t="s">
        <v>790</v>
      </c>
      <c r="P2" s="4" t="s">
        <v>450</v>
      </c>
      <c r="Q2" s="4" t="s">
        <v>451</v>
      </c>
      <c r="R2" s="4" t="s">
        <v>790</v>
      </c>
      <c r="S2" s="4" t="s">
        <v>452</v>
      </c>
      <c r="T2" s="4" t="s">
        <v>790</v>
      </c>
      <c r="U2" s="4" t="s">
        <v>453</v>
      </c>
      <c r="V2" s="4" t="s">
        <v>454</v>
      </c>
      <c r="W2" s="4" t="s">
        <v>889</v>
      </c>
      <c r="X2" s="91" t="s">
        <v>888</v>
      </c>
      <c r="Y2" s="88" t="s">
        <v>903</v>
      </c>
      <c r="Z2" s="91" t="s">
        <v>904</v>
      </c>
      <c r="AA2" s="90" t="s">
        <v>455</v>
      </c>
      <c r="AB2" s="4" t="s">
        <v>790</v>
      </c>
      <c r="AC2" s="4" t="s">
        <v>456</v>
      </c>
      <c r="AD2" s="4" t="s">
        <v>840</v>
      </c>
      <c r="AE2" s="4" t="s">
        <v>841</v>
      </c>
      <c r="AF2" s="4" t="s">
        <v>842</v>
      </c>
      <c r="AG2" s="4" t="s">
        <v>843</v>
      </c>
      <c r="AH2" s="4" t="s">
        <v>844</v>
      </c>
      <c r="AI2" s="4" t="s">
        <v>845</v>
      </c>
      <c r="AJ2" s="4" t="s">
        <v>836</v>
      </c>
      <c r="AK2" s="4" t="s">
        <v>837</v>
      </c>
      <c r="AL2" s="4" t="s">
        <v>838</v>
      </c>
      <c r="AM2" s="4" t="s">
        <v>839</v>
      </c>
      <c r="AN2" s="4" t="s">
        <v>457</v>
      </c>
      <c r="AO2" s="4" t="s">
        <v>458</v>
      </c>
      <c r="AP2" s="4" t="s">
        <v>459</v>
      </c>
      <c r="AQ2" s="4" t="s">
        <v>460</v>
      </c>
      <c r="AR2" s="91" t="s">
        <v>882</v>
      </c>
      <c r="AS2" s="88" t="s">
        <v>883</v>
      </c>
      <c r="AT2" s="4" t="s">
        <v>1036</v>
      </c>
      <c r="AU2" s="4" t="s">
        <v>1037</v>
      </c>
      <c r="AV2" s="4" t="s">
        <v>461</v>
      </c>
      <c r="AW2" s="4" t="s">
        <v>1038</v>
      </c>
      <c r="AX2" s="4" t="s">
        <v>1039</v>
      </c>
      <c r="AY2" s="4" t="s">
        <v>918</v>
      </c>
      <c r="AZ2" s="4" t="s">
        <v>462</v>
      </c>
      <c r="BA2" s="4" t="s">
        <v>917</v>
      </c>
      <c r="BB2" s="4" t="s">
        <v>463</v>
      </c>
      <c r="BC2" s="4" t="s">
        <v>464</v>
      </c>
      <c r="BD2" s="4" t="s">
        <v>828</v>
      </c>
      <c r="BE2" s="4" t="s">
        <v>829</v>
      </c>
      <c r="BF2" s="4" t="s">
        <v>827</v>
      </c>
      <c r="BG2" s="4" t="s">
        <v>783</v>
      </c>
      <c r="BH2" s="4" t="s">
        <v>790</v>
      </c>
      <c r="BI2" s="4" t="s">
        <v>784</v>
      </c>
      <c r="BJ2" s="4" t="s">
        <v>785</v>
      </c>
      <c r="BK2" s="4" t="s">
        <v>788</v>
      </c>
      <c r="BL2" s="4" t="s">
        <v>790</v>
      </c>
      <c r="BM2" s="4" t="s">
        <v>465</v>
      </c>
      <c r="BN2" s="4" t="s">
        <v>790</v>
      </c>
      <c r="BO2" s="4" t="s">
        <v>789</v>
      </c>
      <c r="BP2" s="4" t="s">
        <v>790</v>
      </c>
      <c r="BQ2" s="4" t="s">
        <v>466</v>
      </c>
      <c r="BR2" s="88" t="s">
        <v>898</v>
      </c>
    </row>
    <row r="3" spans="1:70" s="5" customFormat="1" ht="30" x14ac:dyDescent="0.25">
      <c r="A3" s="104" t="s">
        <v>410</v>
      </c>
      <c r="B3" s="92" t="s">
        <v>434</v>
      </c>
      <c r="C3" s="38" t="s">
        <v>407</v>
      </c>
      <c r="D3" s="38" t="s">
        <v>787</v>
      </c>
      <c r="E3" s="38" t="s">
        <v>413</v>
      </c>
      <c r="F3" s="38" t="s">
        <v>787</v>
      </c>
      <c r="G3" s="38" t="s">
        <v>414</v>
      </c>
      <c r="H3" s="38" t="s">
        <v>787</v>
      </c>
      <c r="I3" s="38" t="s">
        <v>415</v>
      </c>
      <c r="J3" s="38" t="s">
        <v>787</v>
      </c>
      <c r="K3" s="38" t="s">
        <v>413</v>
      </c>
      <c r="L3" s="38" t="s">
        <v>416</v>
      </c>
      <c r="M3" s="38" t="s">
        <v>416</v>
      </c>
      <c r="N3" s="38" t="s">
        <v>417</v>
      </c>
      <c r="O3" s="53" t="s">
        <v>787</v>
      </c>
      <c r="P3" s="38" t="s">
        <v>412</v>
      </c>
      <c r="Q3" s="38" t="s">
        <v>875</v>
      </c>
      <c r="R3" s="53" t="s">
        <v>787</v>
      </c>
      <c r="S3" s="38" t="s">
        <v>412</v>
      </c>
      <c r="T3" s="53" t="s">
        <v>787</v>
      </c>
      <c r="U3" s="38" t="s">
        <v>412</v>
      </c>
      <c r="V3" s="38" t="s">
        <v>417</v>
      </c>
      <c r="W3" s="53" t="s">
        <v>889</v>
      </c>
      <c r="X3" s="93" t="s">
        <v>416</v>
      </c>
      <c r="Y3" s="89" t="s">
        <v>902</v>
      </c>
      <c r="Z3" s="93" t="s">
        <v>416</v>
      </c>
      <c r="AA3" s="92" t="s">
        <v>419</v>
      </c>
      <c r="AB3" s="53" t="s">
        <v>787</v>
      </c>
      <c r="AC3" s="38" t="s">
        <v>931</v>
      </c>
      <c r="AD3" s="38"/>
      <c r="AE3" s="38" t="s">
        <v>931</v>
      </c>
      <c r="AF3" s="38"/>
      <c r="AG3" s="38" t="s">
        <v>931</v>
      </c>
      <c r="AH3" s="38"/>
      <c r="AI3" s="38" t="s">
        <v>931</v>
      </c>
      <c r="AJ3" s="38" t="s">
        <v>419</v>
      </c>
      <c r="AK3" s="38" t="s">
        <v>419</v>
      </c>
      <c r="AL3" s="38" t="s">
        <v>419</v>
      </c>
      <c r="AM3" s="38" t="s">
        <v>835</v>
      </c>
      <c r="AN3" s="38" t="s">
        <v>438</v>
      </c>
      <c r="AO3" s="38" t="s">
        <v>438</v>
      </c>
      <c r="AP3" s="38" t="s">
        <v>438</v>
      </c>
      <c r="AQ3" s="38" t="s">
        <v>420</v>
      </c>
      <c r="AR3" s="93" t="s">
        <v>422</v>
      </c>
      <c r="AS3" s="89" t="s">
        <v>423</v>
      </c>
      <c r="AT3" s="38" t="s">
        <v>422</v>
      </c>
      <c r="AU3" s="38"/>
      <c r="AV3" s="38" t="s">
        <v>424</v>
      </c>
      <c r="AW3" s="38" t="s">
        <v>422</v>
      </c>
      <c r="AX3" s="38" t="s">
        <v>422</v>
      </c>
      <c r="AY3" s="38" t="s">
        <v>421</v>
      </c>
      <c r="AZ3" s="38" t="s">
        <v>439</v>
      </c>
      <c r="BA3" s="38" t="s">
        <v>422</v>
      </c>
      <c r="BB3" s="38" t="s">
        <v>422</v>
      </c>
      <c r="BC3" s="38" t="s">
        <v>422</v>
      </c>
      <c r="BD3" s="38" t="s">
        <v>442</v>
      </c>
      <c r="BE3" s="38" t="s">
        <v>442</v>
      </c>
      <c r="BF3" s="38" t="s">
        <v>422</v>
      </c>
      <c r="BG3" s="38" t="s">
        <v>786</v>
      </c>
      <c r="BH3" s="53" t="s">
        <v>787</v>
      </c>
      <c r="BI3" s="38" t="s">
        <v>442</v>
      </c>
      <c r="BJ3" s="38" t="s">
        <v>422</v>
      </c>
      <c r="BK3" s="38" t="s">
        <v>442</v>
      </c>
      <c r="BL3" s="53" t="s">
        <v>787</v>
      </c>
      <c r="BM3" s="38" t="s">
        <v>442</v>
      </c>
      <c r="BN3" s="53" t="s">
        <v>787</v>
      </c>
      <c r="BO3" s="38" t="s">
        <v>442</v>
      </c>
      <c r="BP3" s="53" t="s">
        <v>787</v>
      </c>
      <c r="BQ3" s="38" t="s">
        <v>442</v>
      </c>
      <c r="BR3" s="89" t="s">
        <v>901</v>
      </c>
    </row>
    <row r="4" spans="1:70" s="41" customFormat="1" ht="37.5" customHeight="1" x14ac:dyDescent="0.25">
      <c r="A4" s="104" t="s">
        <v>429</v>
      </c>
      <c r="B4" s="94"/>
      <c r="C4" s="79"/>
      <c r="D4" s="40" t="str">
        <f>IF(_xlfn.XLOOKUP($E$4,Level1!B:B,Level1!A:A,"")=0,"",_xlfn.XLOOKUP($E$4,Level1!B:B,Level1!A:A,""))</f>
        <v/>
      </c>
      <c r="E4" s="79"/>
      <c r="F4" s="40">
        <f>_xlfn.XLOOKUP($G$4,Level2!B:B,Level2!A:A,"")</f>
        <v>0</v>
      </c>
      <c r="G4" s="79"/>
      <c r="H4" s="40">
        <f>_xlfn.XLOOKUP($I$4,Level3!B:B,Level3!A:A,"")</f>
        <v>0</v>
      </c>
      <c r="I4" s="79"/>
      <c r="J4" s="40">
        <f>_xlfn.XLOOKUP($K$4,Level4!B:B,Level4!A:A,"")</f>
        <v>0</v>
      </c>
      <c r="K4" s="79"/>
      <c r="L4" s="79"/>
      <c r="M4" s="79"/>
      <c r="N4" s="79"/>
      <c r="O4" s="40" t="str">
        <f>_xlfn.XLOOKUP($P$4,Tableau_Units[Units],Tableau_Units[code],"")</f>
        <v/>
      </c>
      <c r="P4" s="79"/>
      <c r="Q4" s="87"/>
      <c r="R4" s="40" t="str">
        <f>_xlfn.XLOOKUP($S$4,Tableau_PCR[PCR],Tableau_PCR[Code],"")</f>
        <v/>
      </c>
      <c r="S4" s="79"/>
      <c r="T4" s="40" t="str">
        <f>_xlfn.XLOOKUP($U$4,Tableau_PSR[PSR],Tableau_PSR[Code],"")</f>
        <v/>
      </c>
      <c r="U4" s="79"/>
      <c r="V4" s="79"/>
      <c r="W4" s="40" t="str">
        <f>_xlfn.XLOOKUP($X$4,Tableau_Zone[Zone],Tableau_Zone[Code],"")</f>
        <v/>
      </c>
      <c r="X4" s="106"/>
      <c r="Y4" s="99"/>
      <c r="Z4" s="95"/>
      <c r="AA4" s="112"/>
      <c r="AB4" s="40" t="str">
        <f>_xlfn.XLOOKUP($AC$4,Tableau_Units_Mass[Units],Tableau_Units_Mass[code],"")</f>
        <v/>
      </c>
      <c r="AC4" s="79"/>
      <c r="AD4" s="79"/>
      <c r="AE4" s="79"/>
      <c r="AF4" s="79"/>
      <c r="AG4" s="79"/>
      <c r="AH4" s="79"/>
      <c r="AI4" s="79"/>
      <c r="AJ4" s="80"/>
      <c r="AK4" s="80"/>
      <c r="AL4" s="80"/>
      <c r="AM4" s="78">
        <f>AL4+AK4+AJ4</f>
        <v>0</v>
      </c>
      <c r="AN4" s="82"/>
      <c r="AO4" s="82"/>
      <c r="AP4" s="82"/>
      <c r="AQ4" s="45">
        <f>(AP4+AO4+AN4)/100</f>
        <v>0</v>
      </c>
      <c r="AR4" s="95"/>
      <c r="AS4" s="9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81"/>
      <c r="BG4" s="81"/>
      <c r="BH4" s="81" t="str">
        <f>_xlfn.XLOOKUP($BI$4,Tableau_Units[Units],Tableau_Units[code],"")</f>
        <v/>
      </c>
      <c r="BI4" s="81"/>
      <c r="BJ4" s="81"/>
      <c r="BK4" s="79" t="s">
        <v>431</v>
      </c>
      <c r="BL4" s="40">
        <f>_xlfn.XLOOKUP($BM$4,Tableau_SendMode[Send mode],Tableau_SendMode[Code],"")</f>
        <v>0</v>
      </c>
      <c r="BM4" s="79" t="s">
        <v>778</v>
      </c>
      <c r="BN4" s="40">
        <f>_xlfn.XLOOKUP($BO$4,Tableau_SendMode[Send mode],Tableau_SendMode[Code],"")</f>
        <v>0</v>
      </c>
      <c r="BO4" s="79" t="s">
        <v>778</v>
      </c>
      <c r="BP4" s="40">
        <f>_xlfn.XLOOKUP($BQ$4,Tableau_SendMode[Send mode],Tableau_SendMode[Code],"")</f>
        <v>0</v>
      </c>
      <c r="BQ4" s="79" t="s">
        <v>778</v>
      </c>
      <c r="BR4" s="99"/>
    </row>
    <row r="5" spans="1:70" s="84" customFormat="1" ht="60" x14ac:dyDescent="0.25">
      <c r="A5" s="105" t="s">
        <v>411</v>
      </c>
      <c r="B5" s="96" t="s">
        <v>406</v>
      </c>
      <c r="C5" s="40" t="s">
        <v>408</v>
      </c>
      <c r="D5" s="40">
        <v>484</v>
      </c>
      <c r="E5" s="40" t="s">
        <v>81</v>
      </c>
      <c r="F5" s="40">
        <v>504</v>
      </c>
      <c r="G5" s="40" t="s">
        <v>100</v>
      </c>
      <c r="H5" s="40">
        <v>570</v>
      </c>
      <c r="I5" s="40" t="s">
        <v>169</v>
      </c>
      <c r="J5" s="40">
        <v>703</v>
      </c>
      <c r="K5" s="40" t="s">
        <v>330</v>
      </c>
      <c r="L5" s="40" t="s">
        <v>830</v>
      </c>
      <c r="M5" s="40" t="s">
        <v>831</v>
      </c>
      <c r="N5" s="40">
        <v>250</v>
      </c>
      <c r="O5" s="40">
        <v>2</v>
      </c>
      <c r="P5" s="40" t="s">
        <v>832</v>
      </c>
      <c r="Q5" s="83">
        <v>44409</v>
      </c>
      <c r="R5" s="40">
        <v>2</v>
      </c>
      <c r="S5" s="40" t="s">
        <v>833</v>
      </c>
      <c r="T5" s="40">
        <v>6</v>
      </c>
      <c r="U5" s="40" t="s">
        <v>834</v>
      </c>
      <c r="V5" s="40">
        <v>17</v>
      </c>
      <c r="W5" s="40"/>
      <c r="X5" s="97" t="s">
        <v>521</v>
      </c>
      <c r="Y5" s="100" t="s">
        <v>886</v>
      </c>
      <c r="Z5" s="97" t="s">
        <v>418</v>
      </c>
      <c r="AA5" s="113">
        <v>3.2</v>
      </c>
      <c r="AB5" s="40">
        <v>3</v>
      </c>
      <c r="AC5" s="40" t="s">
        <v>394</v>
      </c>
      <c r="AD5" s="40">
        <v>1</v>
      </c>
      <c r="AE5" s="40" t="s">
        <v>28</v>
      </c>
      <c r="AF5" s="40">
        <v>1</v>
      </c>
      <c r="AG5" s="40" t="s">
        <v>28</v>
      </c>
      <c r="AH5" s="40">
        <v>1.2</v>
      </c>
      <c r="AI5" s="40" t="s">
        <v>28</v>
      </c>
      <c r="AJ5" s="78">
        <v>0.30499999999999999</v>
      </c>
      <c r="AK5" s="78">
        <v>0.50749999999999995</v>
      </c>
      <c r="AL5" s="78">
        <v>0.1875</v>
      </c>
      <c r="AM5" s="78">
        <f>AL5+AK5+AJ5</f>
        <v>1</v>
      </c>
      <c r="AN5" s="45">
        <v>0.30499999999999999</v>
      </c>
      <c r="AO5" s="45">
        <v>0.50749999999999995</v>
      </c>
      <c r="AP5" s="45">
        <v>0.1875</v>
      </c>
      <c r="AQ5" s="45">
        <f>AP5+AO5+AN5</f>
        <v>1</v>
      </c>
      <c r="AR5" s="97" t="s">
        <v>426</v>
      </c>
      <c r="AS5" s="100" t="s">
        <v>426</v>
      </c>
      <c r="AT5" s="40" t="s">
        <v>426</v>
      </c>
      <c r="AU5" s="40"/>
      <c r="AV5" s="40" t="s">
        <v>427</v>
      </c>
      <c r="AW5" s="40" t="s">
        <v>426</v>
      </c>
      <c r="AX5" s="40" t="s">
        <v>426</v>
      </c>
      <c r="AY5" s="40" t="s">
        <v>427</v>
      </c>
      <c r="AZ5" s="40" t="s">
        <v>440</v>
      </c>
      <c r="BA5" s="40" t="s">
        <v>428</v>
      </c>
      <c r="BB5" s="40" t="s">
        <v>428</v>
      </c>
      <c r="BC5" s="40" t="s">
        <v>428</v>
      </c>
      <c r="BD5" s="40" t="s">
        <v>431</v>
      </c>
      <c r="BE5" s="40" t="s">
        <v>430</v>
      </c>
      <c r="BF5" s="40"/>
      <c r="BG5" s="40">
        <v>1</v>
      </c>
      <c r="BH5" s="40">
        <v>13</v>
      </c>
      <c r="BI5" s="40" t="s">
        <v>2</v>
      </c>
      <c r="BJ5" s="40" t="s">
        <v>428</v>
      </c>
      <c r="BK5" s="40" t="s">
        <v>431</v>
      </c>
      <c r="BL5" s="40">
        <v>1</v>
      </c>
      <c r="BM5" s="40" t="s">
        <v>779</v>
      </c>
      <c r="BN5" s="40">
        <v>0</v>
      </c>
      <c r="BO5" s="40" t="s">
        <v>778</v>
      </c>
      <c r="BP5" s="40">
        <v>2</v>
      </c>
      <c r="BQ5" s="40" t="s">
        <v>780</v>
      </c>
      <c r="BR5" s="100"/>
    </row>
    <row r="6" spans="1:70" s="84" customFormat="1" ht="45" x14ac:dyDescent="0.25">
      <c r="A6" s="105" t="s">
        <v>432</v>
      </c>
      <c r="B6" s="96" t="s">
        <v>436</v>
      </c>
      <c r="C6" s="40" t="s">
        <v>437</v>
      </c>
      <c r="D6" s="40"/>
      <c r="E6" s="40" t="s">
        <v>892</v>
      </c>
      <c r="F6" s="40"/>
      <c r="G6" s="40" t="s">
        <v>893</v>
      </c>
      <c r="H6" s="40"/>
      <c r="I6" s="40" t="s">
        <v>894</v>
      </c>
      <c r="J6" s="40"/>
      <c r="K6" s="40" t="s">
        <v>895</v>
      </c>
      <c r="L6" s="40" t="s">
        <v>873</v>
      </c>
      <c r="M6" s="40"/>
      <c r="N6" s="40"/>
      <c r="O6" s="40"/>
      <c r="P6" s="40"/>
      <c r="Q6" s="83"/>
      <c r="R6" s="40"/>
      <c r="S6" s="40"/>
      <c r="T6" s="40"/>
      <c r="U6" s="40"/>
      <c r="V6" s="40" t="s">
        <v>878</v>
      </c>
      <c r="W6" s="40"/>
      <c r="X6" s="97"/>
      <c r="Y6" s="100" t="s">
        <v>877</v>
      </c>
      <c r="Z6" s="97" t="s">
        <v>885</v>
      </c>
      <c r="AA6" s="113"/>
      <c r="AB6" s="40"/>
      <c r="AC6" s="40"/>
      <c r="AD6" s="40" t="s">
        <v>879</v>
      </c>
      <c r="AE6" s="40" t="s">
        <v>879</v>
      </c>
      <c r="AF6" s="40" t="s">
        <v>879</v>
      </c>
      <c r="AG6" s="40" t="s">
        <v>879</v>
      </c>
      <c r="AH6" s="40" t="s">
        <v>879</v>
      </c>
      <c r="AI6" s="40" t="s">
        <v>879</v>
      </c>
      <c r="AJ6" s="40" t="s">
        <v>879</v>
      </c>
      <c r="AK6" s="40" t="s">
        <v>879</v>
      </c>
      <c r="AL6" s="40" t="s">
        <v>879</v>
      </c>
      <c r="AM6" s="40" t="s">
        <v>890</v>
      </c>
      <c r="AN6" s="45"/>
      <c r="AO6" s="45"/>
      <c r="AP6" s="45"/>
      <c r="AQ6" s="45"/>
      <c r="AR6" s="97"/>
      <c r="AS6" s="10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53" t="s">
        <v>897</v>
      </c>
      <c r="BG6" s="53" t="s">
        <v>897</v>
      </c>
      <c r="BH6" s="40"/>
      <c r="BI6" s="53" t="s">
        <v>897</v>
      </c>
      <c r="BJ6" s="53" t="s">
        <v>897</v>
      </c>
      <c r="BK6" s="40"/>
      <c r="BL6" s="40"/>
      <c r="BM6" s="40"/>
      <c r="BN6" s="40"/>
      <c r="BO6" s="40"/>
      <c r="BP6" s="40"/>
      <c r="BQ6" s="40"/>
      <c r="BR6" s="100" t="s">
        <v>899</v>
      </c>
    </row>
    <row r="7" spans="1:70" s="43" customFormat="1" ht="90.75" thickBot="1" x14ac:dyDescent="0.3">
      <c r="A7" s="104" t="s">
        <v>433</v>
      </c>
      <c r="B7" s="98" t="s">
        <v>435</v>
      </c>
      <c r="C7" s="107"/>
      <c r="D7" s="107"/>
      <c r="E7" s="146" t="s">
        <v>896</v>
      </c>
      <c r="F7" s="147"/>
      <c r="G7" s="147"/>
      <c r="H7" s="147"/>
      <c r="I7" s="147"/>
      <c r="J7" s="147"/>
      <c r="K7" s="148"/>
      <c r="L7" s="108" t="s">
        <v>874</v>
      </c>
      <c r="M7" s="107"/>
      <c r="N7" s="107"/>
      <c r="O7" s="107"/>
      <c r="P7" s="107"/>
      <c r="Q7" s="108" t="s">
        <v>876</v>
      </c>
      <c r="R7" s="107"/>
      <c r="S7" s="107"/>
      <c r="T7" s="107"/>
      <c r="U7" s="108" t="s">
        <v>1008</v>
      </c>
      <c r="V7" s="107"/>
      <c r="W7" s="107"/>
      <c r="X7" s="109"/>
      <c r="Y7" s="149" t="s">
        <v>905</v>
      </c>
      <c r="Z7" s="150"/>
      <c r="AA7" s="114"/>
      <c r="AB7" s="115"/>
      <c r="AC7" s="107"/>
      <c r="AD7" s="107"/>
      <c r="AE7" s="107"/>
      <c r="AF7" s="107"/>
      <c r="AG7" s="107"/>
      <c r="AH7" s="107"/>
      <c r="AI7" s="107"/>
      <c r="AJ7" s="116"/>
      <c r="AK7" s="116"/>
      <c r="AL7" s="116"/>
      <c r="AM7" s="116"/>
      <c r="AN7" s="116"/>
      <c r="AO7" s="116"/>
      <c r="AP7" s="116"/>
      <c r="AQ7" s="116"/>
      <c r="AR7" s="109"/>
      <c r="AS7" s="111"/>
      <c r="AT7" s="42"/>
      <c r="AU7" s="42"/>
      <c r="AV7" s="42"/>
      <c r="AW7" s="42"/>
      <c r="AX7" s="42"/>
      <c r="AY7" s="42"/>
      <c r="AZ7" s="44" t="s">
        <v>441</v>
      </c>
      <c r="BA7" s="44"/>
      <c r="BB7" s="44" t="s">
        <v>919</v>
      </c>
      <c r="BC7" s="42"/>
      <c r="BD7" s="42"/>
      <c r="BE7" s="42"/>
      <c r="BF7" s="42"/>
      <c r="BG7" s="42"/>
      <c r="BH7" s="40"/>
      <c r="BI7" s="42"/>
      <c r="BJ7" s="42"/>
      <c r="BK7" s="42"/>
      <c r="BL7" s="40"/>
      <c r="BM7" s="44" t="s">
        <v>846</v>
      </c>
      <c r="BN7" s="40"/>
      <c r="BO7" s="42"/>
      <c r="BP7" s="40"/>
      <c r="BQ7" s="42"/>
      <c r="BR7" s="101" t="s">
        <v>900</v>
      </c>
    </row>
    <row r="8" spans="1:70" x14ac:dyDescent="0.25">
      <c r="A8" s="140" t="str">
        <f>CONCATENATE("Template version : ",'Ref_PCR-PSR-Zone'!J8," (updated on ",TEXT('Ref_PCR-PSR-Zone'!J9,"aaaa-mm-jj"),")")</f>
        <v>Template version : 1.18 (updated on 2026-05-06)</v>
      </c>
      <c r="B8" s="140"/>
    </row>
  </sheetData>
  <sheetProtection algorithmName="SHA-512" hashValue="coaGJ3WFf5pHozTwzvn4exjQCZWPMex2fysfvY4oSKzXSounTjAU6lTzi7uLNvwR1gBRfMxXANUl2XvkV6kmhA==" saltValue="CIrf+i341sn44Y34sjax+g==" spinCount="100000" sheet="1" objects="1" scenarios="1" selectLockedCells="1"/>
  <mergeCells count="9">
    <mergeCell ref="A8:B8"/>
    <mergeCell ref="BK1:BQ1"/>
    <mergeCell ref="Y1:Z1"/>
    <mergeCell ref="AT1:BC1"/>
    <mergeCell ref="E7:K7"/>
    <mergeCell ref="Y7:Z7"/>
    <mergeCell ref="B1:X1"/>
    <mergeCell ref="AA1:AR1"/>
    <mergeCell ref="BE1:BJ1"/>
  </mergeCells>
  <conditionalFormatting sqref="AM4">
    <cfRule type="cellIs" dxfId="9" priority="4" operator="equal">
      <formula>1</formula>
    </cfRule>
  </conditionalFormatting>
  <conditionalFormatting sqref="AQ4">
    <cfRule type="cellIs" dxfId="8" priority="8" operator="equal">
      <formula>1</formula>
    </cfRule>
  </conditionalFormatting>
  <conditionalFormatting sqref="BF4:BG4">
    <cfRule type="expression" dxfId="7" priority="5">
      <formula>$BE$4="Yes"</formula>
    </cfRule>
  </conditionalFormatting>
  <conditionalFormatting sqref="BI4:BJ4">
    <cfRule type="expression" dxfId="6" priority="6">
      <formula>$BE$4="Yes"</formula>
    </cfRule>
  </conditionalFormatting>
  <dataValidations count="10">
    <dataValidation type="list" allowBlank="1" showInputMessage="1" showErrorMessage="1" sqref="P4 BI4" xr:uid="{CE272C53-6888-4892-A023-EBF82C69F7D1}">
      <formula1>List_Units</formula1>
    </dataValidation>
    <dataValidation type="list" allowBlank="1" showInputMessage="1" showErrorMessage="1" sqref="S4" xr:uid="{07EC4FA1-F3E6-4DF8-A817-B4DACED434C0}">
      <formula1>List_PCR</formula1>
    </dataValidation>
    <dataValidation type="list" allowBlank="1" showInputMessage="1" showErrorMessage="1" sqref="U4" xr:uid="{12C7F586-0241-4A9C-9242-BFCB94E450C7}">
      <formula1>List_PSR</formula1>
    </dataValidation>
    <dataValidation type="list" allowBlank="1" showInputMessage="1" showErrorMessage="1" sqref="AC4 AE4 AG4 AI4" xr:uid="{34C3F7E9-FEF5-43ED-9824-7F703FEBE3B1}">
      <formula1>List_Units_Mass</formula1>
    </dataValidation>
    <dataValidation type="list" allowBlank="1" showInputMessage="1" showErrorMessage="1" sqref="BK4 BD4:BE4" xr:uid="{95036262-A45E-4150-A76E-8267DDB60CE0}">
      <formula1>List_Bool</formula1>
    </dataValidation>
    <dataValidation type="whole" operator="greaterThan" allowBlank="1" showInputMessage="1" showErrorMessage="1" errorTitle="Positive Integer Only" error="Please enter a valid positive integer" sqref="BG4" xr:uid="{25746373-C48B-46C7-A15F-5EF8F0667FC5}">
      <formula1>0</formula1>
    </dataValidation>
    <dataValidation operator="greaterThan" allowBlank="1" showInputMessage="1" showErrorMessage="1" errorTitle="Positive Integer Only" error="Please enter a valid positive integer" sqref="AB4 O4 R4 T4 W4 BF4" xr:uid="{7851CFE4-4868-4698-B303-80D642DB1106}"/>
    <dataValidation type="list" allowBlank="1" showInputMessage="1" showErrorMessage="1" sqref="BM4 BO4 BQ4" xr:uid="{AA91E121-F82F-4FA8-B5E5-CB07FA41066A}">
      <formula1>List_SendMode</formula1>
    </dataValidation>
    <dataValidation type="decimal" operator="greaterThanOrEqual" allowBlank="1" showInputMessage="1" showErrorMessage="1" sqref="AD4 AF4 AH4" xr:uid="{2AAC8D77-130C-452B-9DDC-6FEDFE186444}">
      <formula1>0</formula1>
    </dataValidation>
    <dataValidation type="whole" allowBlank="1" showInputMessage="1" showErrorMessage="1" sqref="V4" xr:uid="{C764D046-8CD0-4E6D-A7DE-0D5CB45F98BD}">
      <formula1>1</formula1>
      <formula2>9999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398FD4B9-FE06-416C-90B4-14A1DD10CCEA}">
            <xm:f>COUNTA(Level2!B:B)=0</xm:f>
            <x14:dxf>
              <fill>
                <patternFill>
                  <bgColor theme="2" tint="-9.9948118533890809E-2"/>
                </patternFill>
              </fill>
            </x14:dxf>
          </x14:cfRule>
          <xm:sqref>G4</xm:sqref>
        </x14:conditionalFormatting>
        <x14:conditionalFormatting xmlns:xm="http://schemas.microsoft.com/office/excel/2006/main">
          <x14:cfRule type="expression" priority="2" id="{2B5087F9-4C9C-47BB-89C8-6074CE4B7BF5}">
            <xm:f>COUNTA(Level3!B:B)=0</xm:f>
            <x14:dxf>
              <fill>
                <patternFill>
                  <bgColor theme="2" tint="-9.9948118533890809E-2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expression" priority="1" id="{AE228657-5EE2-4B23-B72F-6E8295C512AB}">
            <xm:f>COUNTA(Level4!B:B)=0</xm:f>
            <x14:dxf>
              <fill>
                <patternFill>
                  <bgColor theme="2" tint="-9.9948118533890809E-2"/>
                </patternFill>
              </fill>
            </x14:dxf>
          </x14:cfRule>
          <xm:sqref>K4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76F2344-3194-4AF3-9258-D453D8754969}">
          <x14:formula1>
            <xm:f>OFFSET(Level1!$B$1,0,0,COUNTA(Level1!B:B),1)</xm:f>
          </x14:formula1>
          <xm:sqref>E4</xm:sqref>
        </x14:dataValidation>
        <x14:dataValidation type="list" allowBlank="1" showInputMessage="1" showErrorMessage="1" xr:uid="{3C10F004-1854-45A8-AD84-E1DE80FCCB79}">
          <x14:formula1>
            <xm:f>OFFSET(Level2!$B$1,0,0,COUNTA(Level2!B:B),1)</xm:f>
          </x14:formula1>
          <xm:sqref>G4</xm:sqref>
        </x14:dataValidation>
        <x14:dataValidation type="list" allowBlank="1" showInputMessage="1" showErrorMessage="1" xr:uid="{1DF5BE3D-8B4E-4C9A-90FE-DC49C7D5D30C}">
          <x14:formula1>
            <xm:f>OFFSET(Level3!$B$1,0,0,COUNTA(Level3!B:B),1)</xm:f>
          </x14:formula1>
          <xm:sqref>I4</xm:sqref>
        </x14:dataValidation>
        <x14:dataValidation type="list" allowBlank="1" showInputMessage="1" showErrorMessage="1" xr:uid="{93F704FA-F55B-4710-A4F6-32F684346331}">
          <x14:formula1>
            <xm:f>OFFSET(Level4!$B$1,0,0,COUNTA(Level4!B:B),1)</xm:f>
          </x14:formula1>
          <xm:sqref>K4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C9F3-3D69-49F5-9C96-D93BC3106207}">
  <sheetPr codeName="Feuil2">
    <tabColor rgb="FF92D050"/>
  </sheetPr>
  <dimension ref="A1:I13"/>
  <sheetViews>
    <sheetView workbookViewId="0">
      <pane xSplit="3" ySplit="2" topLeftCell="D3" activePane="bottomRight" state="frozen"/>
      <selection activeCell="B3" sqref="A3:F402"/>
      <selection pane="topRight" activeCell="B3" sqref="A3:F402"/>
      <selection pane="bottomLeft" activeCell="B3" sqref="A3:F402"/>
      <selection pane="bottomRight" activeCell="B3" sqref="A3:F402"/>
    </sheetView>
  </sheetViews>
  <sheetFormatPr baseColWidth="10" defaultColWidth="11.42578125" defaultRowHeight="15" x14ac:dyDescent="0.25"/>
  <cols>
    <col min="1" max="1" width="40.7109375" style="2" customWidth="1"/>
    <col min="2" max="2" width="15.7109375" style="2" customWidth="1"/>
    <col min="3" max="3" width="25.7109375" style="2" hidden="1" customWidth="1"/>
    <col min="4" max="9" width="25.7109375" style="2" customWidth="1"/>
    <col min="10" max="16384" width="11.42578125" style="2"/>
  </cols>
  <sheetData>
    <row r="1" spans="1:9" x14ac:dyDescent="0.25">
      <c r="A1" s="10" t="s">
        <v>77</v>
      </c>
      <c r="B1" s="154" t="s">
        <v>2</v>
      </c>
      <c r="C1" s="154" t="s">
        <v>70</v>
      </c>
      <c r="D1" s="154" t="s">
        <v>69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</row>
    <row r="2" spans="1:9" ht="15.75" thickBot="1" x14ac:dyDescent="0.3">
      <c r="A2" s="13" t="s">
        <v>76</v>
      </c>
      <c r="B2" s="155"/>
      <c r="C2" s="155"/>
      <c r="D2" s="155"/>
      <c r="E2" s="22" t="s">
        <v>3</v>
      </c>
      <c r="F2" s="22" t="s">
        <v>4</v>
      </c>
      <c r="G2" s="22" t="s">
        <v>5</v>
      </c>
      <c r="H2" s="22" t="s">
        <v>6</v>
      </c>
      <c r="I2" s="23" t="s">
        <v>7</v>
      </c>
    </row>
    <row r="3" spans="1:9" x14ac:dyDescent="0.25">
      <c r="A3" s="24" t="s">
        <v>8</v>
      </c>
      <c r="B3" s="16" t="s">
        <v>9</v>
      </c>
      <c r="C3" s="17">
        <f>SUM(E3:I3)</f>
        <v>0</v>
      </c>
      <c r="D3" s="25"/>
      <c r="E3" s="25"/>
      <c r="F3" s="25"/>
      <c r="G3" s="25"/>
      <c r="H3" s="25"/>
      <c r="I3" s="26"/>
    </row>
    <row r="4" spans="1:9" x14ac:dyDescent="0.25">
      <c r="A4" s="27" t="s">
        <v>10</v>
      </c>
      <c r="B4" s="7" t="s">
        <v>11</v>
      </c>
      <c r="C4" s="6">
        <f t="shared" ref="C4:C13" si="0">SUM(E4:I4)</f>
        <v>0</v>
      </c>
      <c r="D4" s="8"/>
      <c r="E4" s="8"/>
      <c r="F4" s="8"/>
      <c r="G4" s="8"/>
      <c r="H4" s="8"/>
      <c r="I4" s="28"/>
    </row>
    <row r="5" spans="1:9" x14ac:dyDescent="0.25">
      <c r="A5" s="27" t="s">
        <v>12</v>
      </c>
      <c r="B5" s="7" t="s">
        <v>13</v>
      </c>
      <c r="C5" s="6">
        <f t="shared" si="0"/>
        <v>0</v>
      </c>
      <c r="D5" s="8"/>
      <c r="E5" s="8"/>
      <c r="F5" s="8"/>
      <c r="G5" s="8"/>
      <c r="H5" s="8"/>
      <c r="I5" s="28"/>
    </row>
    <row r="6" spans="1:9" x14ac:dyDescent="0.25">
      <c r="A6" s="27" t="s">
        <v>14</v>
      </c>
      <c r="B6" s="7" t="s">
        <v>15</v>
      </c>
      <c r="C6" s="6">
        <f t="shared" si="0"/>
        <v>0</v>
      </c>
      <c r="D6" s="8"/>
      <c r="E6" s="8"/>
      <c r="F6" s="8"/>
      <c r="G6" s="8"/>
      <c r="H6" s="8"/>
      <c r="I6" s="28"/>
    </row>
    <row r="7" spans="1:9" x14ac:dyDescent="0.25">
      <c r="A7" s="27" t="s">
        <v>16</v>
      </c>
      <c r="B7" s="7" t="s">
        <v>17</v>
      </c>
      <c r="C7" s="6">
        <f t="shared" si="0"/>
        <v>0</v>
      </c>
      <c r="D7" s="8"/>
      <c r="E7" s="8"/>
      <c r="F7" s="8"/>
      <c r="G7" s="8"/>
      <c r="H7" s="8"/>
      <c r="I7" s="28"/>
    </row>
    <row r="8" spans="1:9" x14ac:dyDescent="0.25">
      <c r="A8" s="27" t="s">
        <v>18</v>
      </c>
      <c r="B8" s="7" t="s">
        <v>19</v>
      </c>
      <c r="C8" s="6">
        <f t="shared" si="0"/>
        <v>0</v>
      </c>
      <c r="D8" s="8"/>
      <c r="E8" s="8"/>
      <c r="F8" s="8"/>
      <c r="G8" s="8"/>
      <c r="H8" s="8"/>
      <c r="I8" s="28"/>
    </row>
    <row r="9" spans="1:9" x14ac:dyDescent="0.25">
      <c r="A9" s="27" t="s">
        <v>20</v>
      </c>
      <c r="B9" s="7" t="s">
        <v>21</v>
      </c>
      <c r="C9" s="6">
        <f t="shared" si="0"/>
        <v>0</v>
      </c>
      <c r="D9" s="8"/>
      <c r="E9" s="8"/>
      <c r="F9" s="8"/>
      <c r="G9" s="8"/>
      <c r="H9" s="8"/>
      <c r="I9" s="28"/>
    </row>
    <row r="10" spans="1:9" x14ac:dyDescent="0.25">
      <c r="A10" s="27" t="s">
        <v>22</v>
      </c>
      <c r="B10" s="7" t="s">
        <v>23</v>
      </c>
      <c r="C10" s="6">
        <f t="shared" si="0"/>
        <v>0</v>
      </c>
      <c r="D10" s="8"/>
      <c r="E10" s="8"/>
      <c r="F10" s="8"/>
      <c r="G10" s="8"/>
      <c r="H10" s="8"/>
      <c r="I10" s="28"/>
    </row>
    <row r="11" spans="1:9" x14ac:dyDescent="0.25">
      <c r="A11" s="27" t="s">
        <v>24</v>
      </c>
      <c r="B11" s="7" t="s">
        <v>25</v>
      </c>
      <c r="C11" s="6">
        <f t="shared" si="0"/>
        <v>0</v>
      </c>
      <c r="D11" s="8"/>
      <c r="E11" s="8"/>
      <c r="F11" s="8"/>
      <c r="G11" s="8"/>
      <c r="H11" s="8"/>
      <c r="I11" s="28"/>
    </row>
    <row r="12" spans="1:9" x14ac:dyDescent="0.25">
      <c r="A12" s="27" t="s">
        <v>26</v>
      </c>
      <c r="B12" s="7" t="s">
        <v>25</v>
      </c>
      <c r="C12" s="6">
        <f t="shared" si="0"/>
        <v>0</v>
      </c>
      <c r="D12" s="8"/>
      <c r="E12" s="8"/>
      <c r="F12" s="8"/>
      <c r="G12" s="8"/>
      <c r="H12" s="8"/>
      <c r="I12" s="28"/>
    </row>
    <row r="13" spans="1:9" ht="15.75" thickBot="1" x14ac:dyDescent="0.3">
      <c r="A13" s="29" t="s">
        <v>27</v>
      </c>
      <c r="B13" s="20" t="s">
        <v>28</v>
      </c>
      <c r="C13" s="21">
        <f t="shared" si="0"/>
        <v>0</v>
      </c>
      <c r="D13" s="30"/>
      <c r="E13" s="30"/>
      <c r="F13" s="30"/>
      <c r="G13" s="30"/>
      <c r="H13" s="30"/>
      <c r="I13" s="31"/>
    </row>
  </sheetData>
  <mergeCells count="3">
    <mergeCell ref="B1:B2"/>
    <mergeCell ref="C1:C2"/>
    <mergeCell ref="D1:D2"/>
  </mergeCells>
  <conditionalFormatting sqref="D3:D13">
    <cfRule type="cellIs" dxfId="5" priority="1" operator="notEqual">
      <formula>C3</formula>
    </cfRule>
    <cfRule type="cellIs" dxfId="4" priority="2" operator="equal">
      <formula>C3</formula>
    </cfRule>
  </conditionalFormatting>
  <dataValidations count="1">
    <dataValidation type="decimal" errorStyle="warning" operator="equal" allowBlank="1" showInputMessage="1" showErrorMessage="1" errorTitle="Wrong Totals" error="The totals (calculated and declared) are not equals._x000a_Please verify your declaration." sqref="D3:D13" xr:uid="{647C1851-878E-4B89-90E1-A3C85080325F}">
      <formula1>C3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7C88-1413-4901-ABEC-C67E4E19DAFA}">
  <sheetPr codeName="Feuil3">
    <tabColor rgb="FF92D050"/>
  </sheetPr>
  <dimension ref="A1:O28"/>
  <sheetViews>
    <sheetView workbookViewId="0">
      <pane xSplit="2" ySplit="1" topLeftCell="C2" activePane="bottomRight" state="frozen"/>
      <selection activeCell="A8" sqref="A8:B8"/>
      <selection pane="topRight" activeCell="A8" sqref="A8:B8"/>
      <selection pane="bottomLeft" activeCell="A8" sqref="A8:B8"/>
      <selection pane="bottomRight" activeCell="C2" sqref="C2"/>
    </sheetView>
  </sheetViews>
  <sheetFormatPr baseColWidth="10" defaultColWidth="11.42578125" defaultRowHeight="15" x14ac:dyDescent="0.25"/>
  <cols>
    <col min="1" max="1" width="40.7109375" style="3" customWidth="1"/>
    <col min="2" max="2" width="15.7109375" style="5" customWidth="1"/>
    <col min="3" max="15" width="25.7109375" style="5" customWidth="1"/>
    <col min="16" max="16384" width="11.42578125" style="2"/>
  </cols>
  <sheetData>
    <row r="1" spans="1:15" s="1" customFormat="1" ht="15.75" thickBot="1" x14ac:dyDescent="0.3">
      <c r="A1" s="13" t="s">
        <v>76</v>
      </c>
      <c r="B1" s="54" t="s">
        <v>2</v>
      </c>
      <c r="C1" s="54" t="s">
        <v>872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11" t="s">
        <v>29</v>
      </c>
      <c r="J1" s="11" t="s">
        <v>30</v>
      </c>
      <c r="K1" s="11" t="s">
        <v>31</v>
      </c>
      <c r="L1" s="11" t="s">
        <v>32</v>
      </c>
      <c r="M1" s="11" t="s">
        <v>33</v>
      </c>
      <c r="N1" s="11" t="s">
        <v>34</v>
      </c>
      <c r="O1" s="12" t="s">
        <v>35</v>
      </c>
    </row>
    <row r="2" spans="1:15" x14ac:dyDescent="0.25">
      <c r="A2" s="15" t="s">
        <v>36</v>
      </c>
      <c r="B2" s="16" t="s">
        <v>37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x14ac:dyDescent="0.25">
      <c r="A3" s="18" t="s">
        <v>38</v>
      </c>
      <c r="B3" s="7" t="s">
        <v>39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6"/>
    </row>
    <row r="4" spans="1:15" x14ac:dyDescent="0.25">
      <c r="A4" s="18" t="s">
        <v>40</v>
      </c>
      <c r="B4" s="7" t="s">
        <v>41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6"/>
    </row>
    <row r="5" spans="1:15" x14ac:dyDescent="0.25">
      <c r="A5" s="18" t="s">
        <v>12</v>
      </c>
      <c r="B5" s="7" t="s">
        <v>42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x14ac:dyDescent="0.25">
      <c r="A6" s="18" t="s">
        <v>43</v>
      </c>
      <c r="B6" s="7" t="s">
        <v>44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6"/>
    </row>
    <row r="7" spans="1:15" x14ac:dyDescent="0.25">
      <c r="A7" s="18" t="s">
        <v>45</v>
      </c>
      <c r="B7" s="7" t="s">
        <v>46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6"/>
    </row>
    <row r="8" spans="1:15" x14ac:dyDescent="0.25">
      <c r="A8" s="18" t="s">
        <v>47</v>
      </c>
      <c r="B8" s="7" t="s">
        <v>19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6"/>
    </row>
    <row r="9" spans="1:15" x14ac:dyDescent="0.25">
      <c r="A9" s="18" t="s">
        <v>48</v>
      </c>
      <c r="B9" s="7" t="s">
        <v>25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6"/>
    </row>
    <row r="10" spans="1:15" x14ac:dyDescent="0.25">
      <c r="A10" s="18" t="s">
        <v>49</v>
      </c>
      <c r="B10" s="7" t="s">
        <v>25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6"/>
    </row>
    <row r="11" spans="1:15" ht="45" x14ac:dyDescent="0.25">
      <c r="A11" s="18" t="s">
        <v>50</v>
      </c>
      <c r="B11" s="7" t="s">
        <v>19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6"/>
    </row>
    <row r="12" spans="1:15" ht="30" x14ac:dyDescent="0.25">
      <c r="A12" s="18" t="s">
        <v>51</v>
      </c>
      <c r="B12" s="7" t="s">
        <v>19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6"/>
    </row>
    <row r="13" spans="1:15" ht="45" x14ac:dyDescent="0.25">
      <c r="A13" s="18" t="s">
        <v>52</v>
      </c>
      <c r="B13" s="7" t="s">
        <v>19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6"/>
    </row>
    <row r="14" spans="1:15" ht="45" x14ac:dyDescent="0.25">
      <c r="A14" s="18" t="s">
        <v>53</v>
      </c>
      <c r="B14" s="7" t="s">
        <v>19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6"/>
    </row>
    <row r="15" spans="1:15" ht="30" x14ac:dyDescent="0.25">
      <c r="A15" s="18" t="s">
        <v>54</v>
      </c>
      <c r="B15" s="7" t="s">
        <v>19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6"/>
    </row>
    <row r="16" spans="1:15" ht="45" x14ac:dyDescent="0.25">
      <c r="A16" s="18" t="s">
        <v>55</v>
      </c>
      <c r="B16" s="7" t="s">
        <v>19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</row>
    <row r="17" spans="1:15" x14ac:dyDescent="0.25">
      <c r="A17" s="18" t="s">
        <v>56</v>
      </c>
      <c r="B17" s="7" t="s">
        <v>28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</row>
    <row r="18" spans="1:15" x14ac:dyDescent="0.25">
      <c r="A18" s="18" t="s">
        <v>57</v>
      </c>
      <c r="B18" s="7" t="s">
        <v>19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</row>
    <row r="19" spans="1:15" x14ac:dyDescent="0.25">
      <c r="A19" s="18" t="s">
        <v>58</v>
      </c>
      <c r="B19" s="7" t="s">
        <v>19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</row>
    <row r="20" spans="1:15" x14ac:dyDescent="0.25">
      <c r="A20" s="18" t="s">
        <v>59</v>
      </c>
      <c r="B20" s="7" t="s">
        <v>25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6"/>
    </row>
    <row r="21" spans="1:15" x14ac:dyDescent="0.25">
      <c r="A21" s="18" t="s">
        <v>60</v>
      </c>
      <c r="B21" s="7" t="s">
        <v>28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6"/>
    </row>
    <row r="22" spans="1:15" x14ac:dyDescent="0.25">
      <c r="A22" s="18" t="s">
        <v>61</v>
      </c>
      <c r="B22" s="7" t="s">
        <v>28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</row>
    <row r="23" spans="1:15" x14ac:dyDescent="0.25">
      <c r="A23" s="18" t="s">
        <v>62</v>
      </c>
      <c r="B23" s="7" t="s">
        <v>28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</row>
    <row r="24" spans="1:15" x14ac:dyDescent="0.25">
      <c r="A24" s="18" t="s">
        <v>63</v>
      </c>
      <c r="B24" s="7" t="s">
        <v>28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</row>
    <row r="25" spans="1:15" x14ac:dyDescent="0.25">
      <c r="A25" s="18" t="s">
        <v>64</v>
      </c>
      <c r="B25" s="7" t="s">
        <v>28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6"/>
    </row>
    <row r="26" spans="1:15" x14ac:dyDescent="0.25">
      <c r="A26" s="18" t="s">
        <v>65</v>
      </c>
      <c r="B26" s="7" t="s">
        <v>28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6"/>
    </row>
    <row r="27" spans="1:15" x14ac:dyDescent="0.25">
      <c r="A27" s="18" t="s">
        <v>66</v>
      </c>
      <c r="B27" s="7" t="s">
        <v>68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6"/>
    </row>
    <row r="28" spans="1:15" ht="30.75" thickBot="1" x14ac:dyDescent="0.3">
      <c r="A28" s="19" t="s">
        <v>67</v>
      </c>
      <c r="B28" s="20" t="s">
        <v>19</v>
      </c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8"/>
    </row>
  </sheetData>
  <sheetProtection formatColumns="0" formatRows="0" selectLockedCells="1"/>
  <conditionalFormatting sqref="C2:C28">
    <cfRule type="cellIs" dxfId="3" priority="1" operator="notEqual">
      <formula>#REF!</formula>
    </cfRule>
    <cfRule type="cellIs" dxfId="2" priority="2" operator="equal">
      <formula>#REF!</formula>
    </cfRule>
  </conditionalFormatting>
  <dataValidations count="1">
    <dataValidation errorStyle="warning" operator="equal" allowBlank="1" showInputMessage="1" showErrorMessage="1" errorTitle="Wrong Totals" error="The totals (calculated and declared) are not equals._x000a_Please verify your declaration." sqref="C2:C28" xr:uid="{14816B52-B3F6-46AC-A7C0-2AEB6A0F2A43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4CB1-B3EB-49F3-A316-5DD23CC87A3B}">
  <sheetPr codeName="Feuil4">
    <tabColor rgb="FF92D050"/>
  </sheetPr>
  <dimension ref="A1:O28"/>
  <sheetViews>
    <sheetView workbookViewId="0">
      <pane xSplit="2" ySplit="1" topLeftCell="C2" activePane="bottomRight" state="frozen"/>
      <selection activeCell="A8" sqref="A8:B8"/>
      <selection pane="topRight" activeCell="A8" sqref="A8:B8"/>
      <selection pane="bottomLeft" activeCell="A8" sqref="A8:B8"/>
      <selection pane="bottomRight" activeCell="C2" sqref="C2"/>
    </sheetView>
  </sheetViews>
  <sheetFormatPr baseColWidth="10" defaultColWidth="11.42578125" defaultRowHeight="15" x14ac:dyDescent="0.25"/>
  <cols>
    <col min="1" max="1" width="40.7109375" style="3" customWidth="1"/>
    <col min="2" max="2" width="15.7109375" style="5" customWidth="1"/>
    <col min="3" max="15" width="25.7109375" style="5" customWidth="1"/>
    <col min="16" max="16384" width="11.42578125" style="2"/>
  </cols>
  <sheetData>
    <row r="1" spans="1:15" s="1" customFormat="1" ht="15.75" thickBot="1" x14ac:dyDescent="0.3">
      <c r="A1" s="13" t="s">
        <v>76</v>
      </c>
      <c r="B1" s="54" t="s">
        <v>2</v>
      </c>
      <c r="C1" s="54" t="s">
        <v>872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11" t="s">
        <v>29</v>
      </c>
      <c r="J1" s="11" t="s">
        <v>30</v>
      </c>
      <c r="K1" s="11" t="s">
        <v>31</v>
      </c>
      <c r="L1" s="11" t="s">
        <v>32</v>
      </c>
      <c r="M1" s="11" t="s">
        <v>33</v>
      </c>
      <c r="N1" s="11" t="s">
        <v>34</v>
      </c>
      <c r="O1" s="12" t="s">
        <v>35</v>
      </c>
    </row>
    <row r="2" spans="1:15" x14ac:dyDescent="0.25">
      <c r="A2" s="15" t="s">
        <v>36</v>
      </c>
      <c r="B2" s="16" t="s">
        <v>37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x14ac:dyDescent="0.25">
      <c r="A3" s="18" t="s">
        <v>38</v>
      </c>
      <c r="B3" s="7" t="s">
        <v>39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6"/>
    </row>
    <row r="4" spans="1:15" x14ac:dyDescent="0.25">
      <c r="A4" s="18" t="s">
        <v>40</v>
      </c>
      <c r="B4" s="7" t="s">
        <v>41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6"/>
    </row>
    <row r="5" spans="1:15" x14ac:dyDescent="0.25">
      <c r="A5" s="18" t="s">
        <v>12</v>
      </c>
      <c r="B5" s="7" t="s">
        <v>42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6"/>
    </row>
    <row r="6" spans="1:15" x14ac:dyDescent="0.25">
      <c r="A6" s="18" t="s">
        <v>43</v>
      </c>
      <c r="B6" s="7" t="s">
        <v>44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6"/>
    </row>
    <row r="7" spans="1:15" x14ac:dyDescent="0.25">
      <c r="A7" s="18" t="s">
        <v>45</v>
      </c>
      <c r="B7" s="7" t="s">
        <v>46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6"/>
    </row>
    <row r="8" spans="1:15" x14ac:dyDescent="0.25">
      <c r="A8" s="18" t="s">
        <v>47</v>
      </c>
      <c r="B8" s="7" t="s">
        <v>19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6"/>
    </row>
    <row r="9" spans="1:15" x14ac:dyDescent="0.25">
      <c r="A9" s="18" t="s">
        <v>48</v>
      </c>
      <c r="B9" s="7" t="s">
        <v>25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6"/>
    </row>
    <row r="10" spans="1:15" x14ac:dyDescent="0.25">
      <c r="A10" s="18" t="s">
        <v>49</v>
      </c>
      <c r="B10" s="7" t="s">
        <v>25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6"/>
    </row>
    <row r="11" spans="1:15" ht="45" x14ac:dyDescent="0.25">
      <c r="A11" s="18" t="s">
        <v>50</v>
      </c>
      <c r="B11" s="7" t="s">
        <v>19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6"/>
    </row>
    <row r="12" spans="1:15" ht="30" x14ac:dyDescent="0.25">
      <c r="A12" s="18" t="s">
        <v>51</v>
      </c>
      <c r="B12" s="7" t="s">
        <v>19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6"/>
    </row>
    <row r="13" spans="1:15" ht="45" x14ac:dyDescent="0.25">
      <c r="A13" s="18" t="s">
        <v>52</v>
      </c>
      <c r="B13" s="7" t="s">
        <v>19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6"/>
    </row>
    <row r="14" spans="1:15" ht="45" x14ac:dyDescent="0.25">
      <c r="A14" s="18" t="s">
        <v>53</v>
      </c>
      <c r="B14" s="7" t="s">
        <v>19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6"/>
    </row>
    <row r="15" spans="1:15" ht="30" x14ac:dyDescent="0.25">
      <c r="A15" s="18" t="s">
        <v>54</v>
      </c>
      <c r="B15" s="7" t="s">
        <v>19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6"/>
    </row>
    <row r="16" spans="1:15" ht="45" x14ac:dyDescent="0.25">
      <c r="A16" s="18" t="s">
        <v>55</v>
      </c>
      <c r="B16" s="7" t="s">
        <v>19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</row>
    <row r="17" spans="1:15" x14ac:dyDescent="0.25">
      <c r="A17" s="18" t="s">
        <v>56</v>
      </c>
      <c r="B17" s="7" t="s">
        <v>28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</row>
    <row r="18" spans="1:15" x14ac:dyDescent="0.25">
      <c r="A18" s="18" t="s">
        <v>57</v>
      </c>
      <c r="B18" s="7" t="s">
        <v>19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</row>
    <row r="19" spans="1:15" x14ac:dyDescent="0.25">
      <c r="A19" s="18" t="s">
        <v>58</v>
      </c>
      <c r="B19" s="7" t="s">
        <v>19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</row>
    <row r="20" spans="1:15" x14ac:dyDescent="0.25">
      <c r="A20" s="18" t="s">
        <v>59</v>
      </c>
      <c r="B20" s="7" t="s">
        <v>25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6"/>
    </row>
    <row r="21" spans="1:15" x14ac:dyDescent="0.25">
      <c r="A21" s="18" t="s">
        <v>60</v>
      </c>
      <c r="B21" s="7" t="s">
        <v>28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6"/>
    </row>
    <row r="22" spans="1:15" x14ac:dyDescent="0.25">
      <c r="A22" s="18" t="s">
        <v>61</v>
      </c>
      <c r="B22" s="7" t="s">
        <v>28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</row>
    <row r="23" spans="1:15" x14ac:dyDescent="0.25">
      <c r="A23" s="18" t="s">
        <v>62</v>
      </c>
      <c r="B23" s="7" t="s">
        <v>28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</row>
    <row r="24" spans="1:15" x14ac:dyDescent="0.25">
      <c r="A24" s="18" t="s">
        <v>63</v>
      </c>
      <c r="B24" s="7" t="s">
        <v>28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</row>
    <row r="25" spans="1:15" x14ac:dyDescent="0.25">
      <c r="A25" s="18" t="s">
        <v>64</v>
      </c>
      <c r="B25" s="7" t="s">
        <v>28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6"/>
    </row>
    <row r="26" spans="1:15" x14ac:dyDescent="0.25">
      <c r="A26" s="18" t="s">
        <v>65</v>
      </c>
      <c r="B26" s="7" t="s">
        <v>28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6"/>
    </row>
    <row r="27" spans="1:15" x14ac:dyDescent="0.25">
      <c r="A27" s="18" t="s">
        <v>66</v>
      </c>
      <c r="B27" s="7" t="s">
        <v>68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6"/>
    </row>
    <row r="28" spans="1:15" ht="30.75" thickBot="1" x14ac:dyDescent="0.3">
      <c r="A28" s="19" t="s">
        <v>67</v>
      </c>
      <c r="B28" s="20" t="s">
        <v>19</v>
      </c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8"/>
    </row>
  </sheetData>
  <sheetProtection formatColumns="0" formatRows="0" selectLockedCells="1"/>
  <conditionalFormatting sqref="C2:C28">
    <cfRule type="cellIs" dxfId="1" priority="1" operator="notEqual">
      <formula>#REF!</formula>
    </cfRule>
    <cfRule type="cellIs" dxfId="0" priority="2" operator="equal">
      <formula>#REF!</formula>
    </cfRule>
  </conditionalFormatting>
  <dataValidations count="1">
    <dataValidation errorStyle="warning" operator="equal" allowBlank="1" showInputMessage="1" showErrorMessage="1" errorTitle="Wrong Totals" error="The totals (calculated and declared) are not equals._x000a_Please verify your declaration." sqref="C2:C28" xr:uid="{5E833981-69AF-4E0D-8320-0AB7206F9306}"/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BC97-F7E2-49E5-A21A-21194BED2F7E}">
  <sheetPr codeName="Feuil5">
    <tabColor rgb="FF92D050"/>
  </sheetPr>
  <dimension ref="A1:T42"/>
  <sheetViews>
    <sheetView topLeftCell="A2" zoomScale="85" zoomScaleNormal="85" workbookViewId="0">
      <selection activeCell="G4" sqref="G4"/>
    </sheetView>
  </sheetViews>
  <sheetFormatPr baseColWidth="10" defaultColWidth="11.42578125" defaultRowHeight="22.5" customHeight="1" x14ac:dyDescent="0.25"/>
  <cols>
    <col min="1" max="1" width="3.7109375" style="2" bestFit="1" customWidth="1"/>
    <col min="2" max="2" width="13.42578125" style="2" customWidth="1"/>
    <col min="3" max="3" width="13.42578125" style="2" hidden="1" customWidth="1"/>
    <col min="4" max="4" width="47.85546875" style="41" bestFit="1" customWidth="1"/>
    <col min="5" max="5" width="25" style="2" bestFit="1" customWidth="1"/>
    <col min="6" max="6" width="25.7109375" style="2" hidden="1" customWidth="1"/>
    <col min="7" max="19" width="25.7109375" style="2" customWidth="1"/>
    <col min="20" max="20" width="28.140625" style="2" bestFit="1" customWidth="1"/>
    <col min="21" max="16384" width="11.42578125" style="2"/>
  </cols>
  <sheetData>
    <row r="1" spans="1:20" s="36" customFormat="1" ht="22.5" hidden="1" customHeight="1" thickBot="1" x14ac:dyDescent="0.3">
      <c r="D1" s="84"/>
      <c r="E1" s="36" t="s">
        <v>966</v>
      </c>
      <c r="G1" s="36">
        <v>1</v>
      </c>
      <c r="H1" s="36">
        <v>2</v>
      </c>
      <c r="I1" s="36">
        <v>3</v>
      </c>
      <c r="J1" s="36">
        <v>4</v>
      </c>
      <c r="K1" s="36">
        <v>5</v>
      </c>
      <c r="L1" s="36">
        <v>6</v>
      </c>
      <c r="M1" s="36">
        <v>7</v>
      </c>
      <c r="N1" s="36">
        <v>8</v>
      </c>
      <c r="O1" s="36">
        <v>9</v>
      </c>
      <c r="P1" s="36">
        <v>10</v>
      </c>
      <c r="Q1" s="36">
        <v>11</v>
      </c>
      <c r="R1" s="36">
        <v>12</v>
      </c>
      <c r="S1" s="36">
        <v>13</v>
      </c>
      <c r="T1" s="36">
        <v>14</v>
      </c>
    </row>
    <row r="2" spans="1:20" ht="22.5" customHeight="1" thickBot="1" x14ac:dyDescent="0.3">
      <c r="A2" s="162"/>
      <c r="B2" s="163"/>
      <c r="C2" s="119"/>
      <c r="D2" s="156"/>
      <c r="E2" s="157"/>
      <c r="F2" s="157"/>
      <c r="G2" s="158"/>
      <c r="H2" s="138" t="s">
        <v>1015</v>
      </c>
      <c r="I2" s="55" t="s">
        <v>74</v>
      </c>
      <c r="J2" s="55" t="s">
        <v>75</v>
      </c>
      <c r="K2" s="55" t="s">
        <v>1016</v>
      </c>
      <c r="L2" s="55" t="s">
        <v>1017</v>
      </c>
      <c r="M2" s="10" t="s">
        <v>29</v>
      </c>
      <c r="N2" s="11" t="s">
        <v>30</v>
      </c>
      <c r="O2" s="11" t="s">
        <v>31</v>
      </c>
      <c r="P2" s="11" t="s">
        <v>32</v>
      </c>
      <c r="Q2" s="11" t="s">
        <v>33</v>
      </c>
      <c r="R2" s="11" t="s">
        <v>34</v>
      </c>
      <c r="S2" s="49" t="s">
        <v>35</v>
      </c>
      <c r="T2" s="46" t="s">
        <v>791</v>
      </c>
    </row>
    <row r="3" spans="1:20" ht="22.5" customHeight="1" thickBot="1" x14ac:dyDescent="0.3">
      <c r="A3" s="164"/>
      <c r="B3" s="165"/>
      <c r="C3" s="120" t="s">
        <v>966</v>
      </c>
      <c r="D3" s="56" t="s">
        <v>76</v>
      </c>
      <c r="E3" s="57" t="s">
        <v>2</v>
      </c>
      <c r="F3" s="58" t="s">
        <v>70</v>
      </c>
      <c r="G3" s="58" t="s">
        <v>872</v>
      </c>
      <c r="H3" s="13" t="s">
        <v>1018</v>
      </c>
      <c r="I3" s="139" t="s">
        <v>1019</v>
      </c>
      <c r="J3" s="14" t="s">
        <v>1020</v>
      </c>
      <c r="K3" s="47" t="s">
        <v>1021</v>
      </c>
      <c r="L3" s="47" t="s">
        <v>1022</v>
      </c>
      <c r="M3" s="13" t="s">
        <v>775</v>
      </c>
      <c r="N3" s="48" t="s">
        <v>1009</v>
      </c>
      <c r="O3" s="48" t="s">
        <v>1010</v>
      </c>
      <c r="P3" s="48" t="s">
        <v>1011</v>
      </c>
      <c r="Q3" s="48" t="s">
        <v>1012</v>
      </c>
      <c r="R3" s="48" t="s">
        <v>1013</v>
      </c>
      <c r="S3" s="50" t="s">
        <v>1014</v>
      </c>
      <c r="T3" s="59" t="s">
        <v>792</v>
      </c>
    </row>
    <row r="4" spans="1:20" ht="22.5" customHeight="1" x14ac:dyDescent="0.25">
      <c r="A4" s="166" t="s">
        <v>776</v>
      </c>
      <c r="B4" s="169"/>
      <c r="C4" s="121">
        <v>24</v>
      </c>
      <c r="D4" s="85" t="s">
        <v>804</v>
      </c>
      <c r="E4" s="7" t="s">
        <v>805</v>
      </c>
      <c r="F4" s="6">
        <f>SUM(H4:L4)</f>
        <v>0</v>
      </c>
      <c r="G4" s="65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</row>
    <row r="5" spans="1:20" ht="22.5" customHeight="1" x14ac:dyDescent="0.25">
      <c r="A5" s="167"/>
      <c r="B5" s="170"/>
      <c r="C5" s="121">
        <v>25</v>
      </c>
      <c r="D5" s="85" t="s">
        <v>806</v>
      </c>
      <c r="E5" s="7" t="s">
        <v>805</v>
      </c>
      <c r="F5" s="6">
        <f t="shared" ref="F5:F42" si="0">SUM(H5:L5)</f>
        <v>0</v>
      </c>
      <c r="G5" s="65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70"/>
    </row>
    <row r="6" spans="1:20" ht="22.5" customHeight="1" x14ac:dyDescent="0.25">
      <c r="A6" s="167"/>
      <c r="B6" s="170"/>
      <c r="C6" s="121">
        <v>26</v>
      </c>
      <c r="D6" s="85" t="s">
        <v>807</v>
      </c>
      <c r="E6" s="7" t="s">
        <v>805</v>
      </c>
      <c r="F6" s="6">
        <f t="shared" si="0"/>
        <v>0</v>
      </c>
      <c r="G6" s="65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70"/>
    </row>
    <row r="7" spans="1:20" ht="30" x14ac:dyDescent="0.25">
      <c r="A7" s="167"/>
      <c r="B7" s="170"/>
      <c r="C7" s="121">
        <v>27</v>
      </c>
      <c r="D7" s="85" t="s">
        <v>808</v>
      </c>
      <c r="E7" s="7" t="s">
        <v>805</v>
      </c>
      <c r="F7" s="6">
        <f t="shared" si="0"/>
        <v>0</v>
      </c>
      <c r="G7" s="65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70"/>
    </row>
    <row r="8" spans="1:20" ht="22.5" customHeight="1" x14ac:dyDescent="0.25">
      <c r="A8" s="167"/>
      <c r="B8" s="170"/>
      <c r="C8" s="121">
        <v>13</v>
      </c>
      <c r="D8" s="85" t="s">
        <v>38</v>
      </c>
      <c r="E8" s="7" t="s">
        <v>39</v>
      </c>
      <c r="F8" s="6">
        <f t="shared" si="0"/>
        <v>0</v>
      </c>
      <c r="G8" s="65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70"/>
    </row>
    <row r="9" spans="1:20" ht="22.5" customHeight="1" x14ac:dyDescent="0.25">
      <c r="A9" s="167"/>
      <c r="B9" s="170"/>
      <c r="C9" s="121">
        <v>15</v>
      </c>
      <c r="D9" s="85" t="s">
        <v>793</v>
      </c>
      <c r="E9" s="7" t="s">
        <v>794</v>
      </c>
      <c r="F9" s="6">
        <f t="shared" si="0"/>
        <v>0</v>
      </c>
      <c r="G9" s="65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70"/>
    </row>
    <row r="10" spans="1:20" ht="22.5" customHeight="1" x14ac:dyDescent="0.25">
      <c r="A10" s="167"/>
      <c r="B10" s="170"/>
      <c r="C10" s="121">
        <v>17</v>
      </c>
      <c r="D10" s="85" t="s">
        <v>795</v>
      </c>
      <c r="E10" s="7" t="s">
        <v>796</v>
      </c>
      <c r="F10" s="6">
        <f t="shared" si="0"/>
        <v>0</v>
      </c>
      <c r="G10" s="65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70"/>
    </row>
    <row r="11" spans="1:20" ht="22.5" customHeight="1" x14ac:dyDescent="0.25">
      <c r="A11" s="167"/>
      <c r="B11" s="170"/>
      <c r="C11" s="121">
        <v>18</v>
      </c>
      <c r="D11" s="85" t="s">
        <v>797</v>
      </c>
      <c r="E11" s="7" t="s">
        <v>798</v>
      </c>
      <c r="F11" s="6">
        <f t="shared" si="0"/>
        <v>0</v>
      </c>
      <c r="G11" s="65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70"/>
    </row>
    <row r="12" spans="1:20" ht="22.5" customHeight="1" x14ac:dyDescent="0.25">
      <c r="A12" s="167"/>
      <c r="B12" s="170"/>
      <c r="C12" s="121">
        <v>19</v>
      </c>
      <c r="D12" s="85" t="s">
        <v>799</v>
      </c>
      <c r="E12" s="7" t="s">
        <v>800</v>
      </c>
      <c r="F12" s="6">
        <f t="shared" si="0"/>
        <v>0</v>
      </c>
      <c r="G12" s="65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70"/>
    </row>
    <row r="13" spans="1:20" ht="22.5" customHeight="1" x14ac:dyDescent="0.25">
      <c r="A13" s="167"/>
      <c r="B13" s="170"/>
      <c r="C13" s="121">
        <v>21</v>
      </c>
      <c r="D13" s="85" t="s">
        <v>801</v>
      </c>
      <c r="E13" s="7" t="s">
        <v>802</v>
      </c>
      <c r="F13" s="6">
        <f t="shared" si="0"/>
        <v>0</v>
      </c>
      <c r="G13" s="65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70"/>
    </row>
    <row r="14" spans="1:20" ht="22.5" customHeight="1" x14ac:dyDescent="0.25">
      <c r="A14" s="167"/>
      <c r="B14" s="170"/>
      <c r="C14" s="121">
        <v>22</v>
      </c>
      <c r="D14" s="85" t="s">
        <v>45</v>
      </c>
      <c r="E14" s="7" t="s">
        <v>46</v>
      </c>
      <c r="F14" s="6">
        <f t="shared" si="0"/>
        <v>0</v>
      </c>
      <c r="G14" s="65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70"/>
    </row>
    <row r="15" spans="1:20" ht="22.5" customHeight="1" x14ac:dyDescent="0.25">
      <c r="A15" s="167"/>
      <c r="B15" s="170"/>
      <c r="C15" s="121">
        <v>23</v>
      </c>
      <c r="D15" s="85" t="s">
        <v>803</v>
      </c>
      <c r="E15" s="7" t="s">
        <v>19</v>
      </c>
      <c r="F15" s="6">
        <f t="shared" si="0"/>
        <v>0</v>
      </c>
      <c r="G15" s="65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70"/>
    </row>
    <row r="16" spans="1:20" ht="22.5" customHeight="1" x14ac:dyDescent="0.25">
      <c r="A16" s="167"/>
      <c r="B16" s="170"/>
      <c r="C16" s="121">
        <v>28</v>
      </c>
      <c r="D16" s="85" t="s">
        <v>967</v>
      </c>
      <c r="E16" s="7" t="s">
        <v>809</v>
      </c>
      <c r="F16" s="6">
        <f t="shared" si="0"/>
        <v>0</v>
      </c>
      <c r="G16" s="65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0"/>
    </row>
    <row r="17" spans="1:20" ht="22.5" customHeight="1" x14ac:dyDescent="0.25">
      <c r="A17" s="167"/>
      <c r="B17" s="170"/>
      <c r="C17" s="121">
        <v>29</v>
      </c>
      <c r="D17" s="85" t="s">
        <v>810</v>
      </c>
      <c r="E17" s="7" t="s">
        <v>811</v>
      </c>
      <c r="F17" s="6">
        <f t="shared" si="0"/>
        <v>0</v>
      </c>
      <c r="G17" s="65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70"/>
    </row>
    <row r="18" spans="1:20" ht="22.5" customHeight="1" x14ac:dyDescent="0.25">
      <c r="A18" s="167"/>
      <c r="B18" s="170"/>
      <c r="C18" s="121">
        <v>30</v>
      </c>
      <c r="D18" s="85" t="s">
        <v>812</v>
      </c>
      <c r="E18" s="7" t="s">
        <v>813</v>
      </c>
      <c r="F18" s="6">
        <f t="shared" si="0"/>
        <v>0</v>
      </c>
      <c r="G18" s="65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70"/>
    </row>
    <row r="19" spans="1:20" ht="22.5" customHeight="1" x14ac:dyDescent="0.25">
      <c r="A19" s="167"/>
      <c r="B19" s="170"/>
      <c r="C19" s="121">
        <v>31</v>
      </c>
      <c r="D19" s="85" t="s">
        <v>968</v>
      </c>
      <c r="E19" s="7" t="s">
        <v>814</v>
      </c>
      <c r="F19" s="6">
        <f t="shared" si="0"/>
        <v>0</v>
      </c>
      <c r="G19" s="65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70"/>
    </row>
    <row r="20" spans="1:20" ht="22.5" customHeight="1" x14ac:dyDescent="0.25">
      <c r="A20" s="167"/>
      <c r="B20" s="170"/>
      <c r="C20" s="121">
        <v>32</v>
      </c>
      <c r="D20" s="85" t="s">
        <v>969</v>
      </c>
      <c r="E20" s="7" t="s">
        <v>815</v>
      </c>
      <c r="F20" s="6">
        <f t="shared" si="0"/>
        <v>0</v>
      </c>
      <c r="G20" s="65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70"/>
    </row>
    <row r="21" spans="1:20" ht="22.5" customHeight="1" x14ac:dyDescent="0.25">
      <c r="A21" s="167"/>
      <c r="B21" s="170"/>
      <c r="C21" s="121">
        <v>33</v>
      </c>
      <c r="D21" s="85" t="s">
        <v>970</v>
      </c>
      <c r="E21" s="7" t="s">
        <v>815</v>
      </c>
      <c r="F21" s="6">
        <f t="shared" si="0"/>
        <v>0</v>
      </c>
      <c r="G21" s="65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70"/>
    </row>
    <row r="22" spans="1:20" ht="22.5" customHeight="1" thickBot="1" x14ac:dyDescent="0.3">
      <c r="A22" s="168"/>
      <c r="B22" s="171"/>
      <c r="C22" s="121">
        <v>34</v>
      </c>
      <c r="D22" s="86" t="s">
        <v>816</v>
      </c>
      <c r="E22" s="60" t="s">
        <v>817</v>
      </c>
      <c r="F22" s="6">
        <f t="shared" si="0"/>
        <v>0</v>
      </c>
      <c r="G22" s="71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3"/>
    </row>
    <row r="23" spans="1:20" ht="45" customHeight="1" x14ac:dyDescent="0.25">
      <c r="A23" s="166" t="s">
        <v>777</v>
      </c>
      <c r="B23" s="159" t="s">
        <v>818</v>
      </c>
      <c r="C23" s="122">
        <v>37</v>
      </c>
      <c r="D23" s="61" t="s">
        <v>50</v>
      </c>
      <c r="E23" s="7" t="s">
        <v>19</v>
      </c>
      <c r="F23" s="6">
        <f t="shared" si="0"/>
        <v>0</v>
      </c>
      <c r="G23" s="65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74"/>
      <c r="T23" s="70"/>
    </row>
    <row r="24" spans="1:20" ht="30" x14ac:dyDescent="0.25">
      <c r="A24" s="167"/>
      <c r="B24" s="160"/>
      <c r="C24" s="122">
        <v>38</v>
      </c>
      <c r="D24" s="61" t="s">
        <v>51</v>
      </c>
      <c r="E24" s="7" t="s">
        <v>19</v>
      </c>
      <c r="F24" s="6">
        <f t="shared" si="0"/>
        <v>0</v>
      </c>
      <c r="G24" s="65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74"/>
      <c r="T24" s="70"/>
    </row>
    <row r="25" spans="1:20" ht="45" x14ac:dyDescent="0.25">
      <c r="A25" s="167"/>
      <c r="B25" s="160"/>
      <c r="C25" s="122">
        <v>39</v>
      </c>
      <c r="D25" s="61" t="s">
        <v>52</v>
      </c>
      <c r="E25" s="7" t="s">
        <v>19</v>
      </c>
      <c r="F25" s="6">
        <f t="shared" si="0"/>
        <v>0</v>
      </c>
      <c r="G25" s="65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74"/>
      <c r="T25" s="70"/>
    </row>
    <row r="26" spans="1:20" ht="45" x14ac:dyDescent="0.25">
      <c r="A26" s="167"/>
      <c r="B26" s="160"/>
      <c r="C26" s="122">
        <v>40</v>
      </c>
      <c r="D26" s="61" t="s">
        <v>53</v>
      </c>
      <c r="E26" s="7" t="s">
        <v>19</v>
      </c>
      <c r="F26" s="6">
        <f t="shared" si="0"/>
        <v>0</v>
      </c>
      <c r="G26" s="65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74"/>
      <c r="T26" s="70"/>
    </row>
    <row r="27" spans="1:20" ht="30" x14ac:dyDescent="0.25">
      <c r="A27" s="167"/>
      <c r="B27" s="160"/>
      <c r="C27" s="122">
        <v>41</v>
      </c>
      <c r="D27" s="61" t="s">
        <v>54</v>
      </c>
      <c r="E27" s="7" t="s">
        <v>19</v>
      </c>
      <c r="F27" s="6">
        <f t="shared" si="0"/>
        <v>0</v>
      </c>
      <c r="G27" s="65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74"/>
      <c r="T27" s="70"/>
    </row>
    <row r="28" spans="1:20" ht="45.75" thickBot="1" x14ac:dyDescent="0.3">
      <c r="A28" s="167"/>
      <c r="B28" s="161"/>
      <c r="C28" s="122">
        <v>42</v>
      </c>
      <c r="D28" s="61" t="s">
        <v>55</v>
      </c>
      <c r="E28" s="7" t="s">
        <v>19</v>
      </c>
      <c r="F28" s="6">
        <f t="shared" si="0"/>
        <v>0</v>
      </c>
      <c r="G28" s="65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74"/>
      <c r="T28" s="70"/>
    </row>
    <row r="29" spans="1:20" ht="22.5" customHeight="1" x14ac:dyDescent="0.25">
      <c r="A29" s="167"/>
      <c r="B29" s="159" t="s">
        <v>819</v>
      </c>
      <c r="C29" s="122">
        <v>43</v>
      </c>
      <c r="D29" s="61" t="s">
        <v>56</v>
      </c>
      <c r="E29" s="7" t="s">
        <v>28</v>
      </c>
      <c r="F29" s="6">
        <f t="shared" si="0"/>
        <v>0</v>
      </c>
      <c r="G29" s="65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74"/>
      <c r="T29" s="70"/>
    </row>
    <row r="30" spans="1:20" ht="22.5" customHeight="1" x14ac:dyDescent="0.25">
      <c r="A30" s="167"/>
      <c r="B30" s="160"/>
      <c r="C30" s="122">
        <v>44</v>
      </c>
      <c r="D30" s="61" t="s">
        <v>57</v>
      </c>
      <c r="E30" s="7" t="s">
        <v>19</v>
      </c>
      <c r="F30" s="6">
        <f t="shared" si="0"/>
        <v>0</v>
      </c>
      <c r="G30" s="65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74"/>
      <c r="T30" s="70"/>
    </row>
    <row r="31" spans="1:20" ht="22.5" customHeight="1" x14ac:dyDescent="0.25">
      <c r="A31" s="167"/>
      <c r="B31" s="160"/>
      <c r="C31" s="122">
        <v>45</v>
      </c>
      <c r="D31" s="61" t="s">
        <v>58</v>
      </c>
      <c r="E31" s="7" t="s">
        <v>19</v>
      </c>
      <c r="F31" s="6">
        <f t="shared" si="0"/>
        <v>0</v>
      </c>
      <c r="G31" s="65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74"/>
      <c r="T31" s="70"/>
    </row>
    <row r="32" spans="1:20" ht="22.5" customHeight="1" x14ac:dyDescent="0.25">
      <c r="A32" s="167"/>
      <c r="B32" s="160"/>
      <c r="C32" s="122">
        <v>46</v>
      </c>
      <c r="D32" s="61" t="s">
        <v>59</v>
      </c>
      <c r="E32" s="7" t="s">
        <v>25</v>
      </c>
      <c r="F32" s="6">
        <f t="shared" si="0"/>
        <v>0</v>
      </c>
      <c r="G32" s="65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74"/>
      <c r="T32" s="70"/>
    </row>
    <row r="33" spans="1:20" ht="22.5" customHeight="1" thickBot="1" x14ac:dyDescent="0.3">
      <c r="A33" s="167"/>
      <c r="B33" s="161"/>
      <c r="C33" s="123">
        <v>56</v>
      </c>
      <c r="D33" s="85" t="s">
        <v>67</v>
      </c>
      <c r="E33" s="7" t="s">
        <v>19</v>
      </c>
      <c r="F33" s="6">
        <f t="shared" si="0"/>
        <v>0</v>
      </c>
      <c r="G33" s="65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70"/>
    </row>
    <row r="34" spans="1:20" ht="22.5" customHeight="1" x14ac:dyDescent="0.25">
      <c r="A34" s="167"/>
      <c r="B34" s="159" t="s">
        <v>820</v>
      </c>
      <c r="C34" s="122">
        <v>47</v>
      </c>
      <c r="D34" s="61" t="s">
        <v>60</v>
      </c>
      <c r="E34" s="7" t="s">
        <v>28</v>
      </c>
      <c r="F34" s="6">
        <f t="shared" si="0"/>
        <v>0</v>
      </c>
      <c r="G34" s="65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74"/>
      <c r="T34" s="70"/>
    </row>
    <row r="35" spans="1:20" ht="22.5" customHeight="1" x14ac:dyDescent="0.25">
      <c r="A35" s="167"/>
      <c r="B35" s="160"/>
      <c r="C35" s="122">
        <v>48</v>
      </c>
      <c r="D35" s="61" t="s">
        <v>61</v>
      </c>
      <c r="E35" s="7" t="s">
        <v>28</v>
      </c>
      <c r="F35" s="6">
        <f t="shared" si="0"/>
        <v>0</v>
      </c>
      <c r="G35" s="65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74"/>
      <c r="T35" s="70"/>
    </row>
    <row r="36" spans="1:20" ht="22.5" customHeight="1" thickBot="1" x14ac:dyDescent="0.3">
      <c r="A36" s="167"/>
      <c r="B36" s="161"/>
      <c r="C36" s="122">
        <v>49</v>
      </c>
      <c r="D36" s="61" t="s">
        <v>62</v>
      </c>
      <c r="E36" s="7" t="s">
        <v>28</v>
      </c>
      <c r="F36" s="6">
        <f t="shared" si="0"/>
        <v>0</v>
      </c>
      <c r="G36" s="65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74"/>
      <c r="T36" s="70"/>
    </row>
    <row r="37" spans="1:20" ht="22.5" customHeight="1" x14ac:dyDescent="0.25">
      <c r="A37" s="167"/>
      <c r="B37" s="159" t="s">
        <v>821</v>
      </c>
      <c r="C37" s="122">
        <v>50</v>
      </c>
      <c r="D37" s="61" t="s">
        <v>63</v>
      </c>
      <c r="E37" s="7" t="s">
        <v>28</v>
      </c>
      <c r="F37" s="6">
        <f t="shared" si="0"/>
        <v>0</v>
      </c>
      <c r="G37" s="65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74"/>
      <c r="T37" s="70"/>
    </row>
    <row r="38" spans="1:20" ht="22.5" customHeight="1" x14ac:dyDescent="0.25">
      <c r="A38" s="167"/>
      <c r="B38" s="160"/>
      <c r="C38" s="122">
        <v>51</v>
      </c>
      <c r="D38" s="61" t="s">
        <v>64</v>
      </c>
      <c r="E38" s="7" t="s">
        <v>28</v>
      </c>
      <c r="F38" s="6">
        <f t="shared" si="0"/>
        <v>0</v>
      </c>
      <c r="G38" s="65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74"/>
      <c r="T38" s="70"/>
    </row>
    <row r="39" spans="1:20" ht="22.5" customHeight="1" x14ac:dyDescent="0.25">
      <c r="A39" s="167"/>
      <c r="B39" s="160"/>
      <c r="C39" s="122">
        <v>52</v>
      </c>
      <c r="D39" s="61" t="s">
        <v>65</v>
      </c>
      <c r="E39" s="7" t="s">
        <v>28</v>
      </c>
      <c r="F39" s="6">
        <f t="shared" si="0"/>
        <v>0</v>
      </c>
      <c r="G39" s="65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74"/>
      <c r="T39" s="70"/>
    </row>
    <row r="40" spans="1:20" ht="22.5" customHeight="1" thickBot="1" x14ac:dyDescent="0.3">
      <c r="A40" s="167"/>
      <c r="B40" s="161"/>
      <c r="C40" s="122">
        <v>53</v>
      </c>
      <c r="D40" s="61" t="s">
        <v>66</v>
      </c>
      <c r="E40" s="7" t="s">
        <v>68</v>
      </c>
      <c r="F40" s="6">
        <f t="shared" si="0"/>
        <v>0</v>
      </c>
      <c r="G40" s="65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74"/>
      <c r="T40" s="70"/>
    </row>
    <row r="41" spans="1:20" ht="22.5" customHeight="1" x14ac:dyDescent="0.25">
      <c r="A41" s="167"/>
      <c r="B41" s="159" t="s">
        <v>822</v>
      </c>
      <c r="C41" s="122">
        <v>54</v>
      </c>
      <c r="D41" s="85" t="s">
        <v>823</v>
      </c>
      <c r="E41" s="7" t="s">
        <v>824</v>
      </c>
      <c r="F41" s="6">
        <f t="shared" si="0"/>
        <v>0</v>
      </c>
      <c r="G41" s="65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74"/>
      <c r="T41" s="70"/>
    </row>
    <row r="42" spans="1:20" ht="22.5" customHeight="1" thickBot="1" x14ac:dyDescent="0.3">
      <c r="A42" s="168"/>
      <c r="B42" s="161"/>
      <c r="C42" s="124">
        <v>55</v>
      </c>
      <c r="D42" s="117" t="s">
        <v>825</v>
      </c>
      <c r="E42" s="20" t="s">
        <v>824</v>
      </c>
      <c r="F42" s="6">
        <f t="shared" si="0"/>
        <v>0</v>
      </c>
      <c r="G42" s="67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6"/>
      <c r="T42" s="77"/>
    </row>
  </sheetData>
  <sheetProtection algorithmName="SHA-512" hashValue="VgMMWUHkP2UtsSdHbVod2pKP0A4tVoR1feLpSzgAn9/irj70hk5gM+sWGOkLv54ntfKMMjqUSl/9JAbq82JEEA==" saltValue="Qw44F8MOZDO1WkzlYoFzBg==" spinCount="100000" sheet="1" objects="1" scenarios="1" selectLockedCells="1"/>
  <mergeCells count="9">
    <mergeCell ref="D2:G2"/>
    <mergeCell ref="B23:B28"/>
    <mergeCell ref="B37:B40"/>
    <mergeCell ref="A2:B3"/>
    <mergeCell ref="B41:B42"/>
    <mergeCell ref="B29:B33"/>
    <mergeCell ref="A23:A42"/>
    <mergeCell ref="B34:B36"/>
    <mergeCell ref="A4:B22"/>
  </mergeCells>
  <dataValidations count="1">
    <dataValidation errorStyle="warning" operator="equal" allowBlank="1" showInputMessage="1" showErrorMessage="1" errorTitle="Wrong Totals" error="The totals (calculated and declared) are not equals._x000a_Please verify your declaration." sqref="G4:T42" xr:uid="{C81C380D-0BB3-4F77-87B0-60B1B31E1A87}"/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2CCC-67BC-4CD7-9FA9-845D8F5701BE}">
  <sheetPr codeName="Feuil6">
    <tabColor rgb="FF92D050"/>
  </sheetPr>
  <dimension ref="A1:T42"/>
  <sheetViews>
    <sheetView topLeftCell="A2" zoomScale="85" zoomScaleNormal="85" workbookViewId="0">
      <selection activeCell="G4" sqref="G4"/>
    </sheetView>
  </sheetViews>
  <sheetFormatPr baseColWidth="10" defaultColWidth="11.42578125" defaultRowHeight="22.5" customHeight="1" x14ac:dyDescent="0.25"/>
  <cols>
    <col min="1" max="1" width="3.7109375" style="2" bestFit="1" customWidth="1"/>
    <col min="2" max="2" width="13.42578125" style="2" customWidth="1"/>
    <col min="3" max="3" width="13.42578125" style="2" hidden="1" customWidth="1"/>
    <col min="4" max="4" width="47.85546875" style="41" bestFit="1" customWidth="1"/>
    <col min="5" max="5" width="25" style="2" bestFit="1" customWidth="1"/>
    <col min="6" max="6" width="25.7109375" style="2" hidden="1" customWidth="1"/>
    <col min="7" max="19" width="25.7109375" style="2" customWidth="1"/>
    <col min="20" max="20" width="28.140625" style="2" bestFit="1" customWidth="1"/>
    <col min="21" max="16384" width="11.42578125" style="2"/>
  </cols>
  <sheetData>
    <row r="1" spans="1:20" s="36" customFormat="1" ht="22.5" hidden="1" customHeight="1" thickBot="1" x14ac:dyDescent="0.3">
      <c r="D1" s="84"/>
      <c r="E1" s="36" t="s">
        <v>966</v>
      </c>
      <c r="G1" s="36">
        <v>1</v>
      </c>
      <c r="H1" s="36">
        <v>2</v>
      </c>
      <c r="I1" s="36">
        <v>3</v>
      </c>
      <c r="J1" s="36">
        <v>4</v>
      </c>
      <c r="K1" s="36">
        <v>5</v>
      </c>
      <c r="L1" s="36">
        <v>6</v>
      </c>
      <c r="M1" s="36">
        <v>7</v>
      </c>
      <c r="N1" s="36">
        <v>8</v>
      </c>
      <c r="O1" s="36">
        <v>9</v>
      </c>
      <c r="P1" s="36">
        <v>10</v>
      </c>
      <c r="Q1" s="36">
        <v>11</v>
      </c>
      <c r="R1" s="36">
        <v>12</v>
      </c>
      <c r="S1" s="36">
        <v>13</v>
      </c>
      <c r="T1" s="36">
        <v>14</v>
      </c>
    </row>
    <row r="2" spans="1:20" ht="22.5" customHeight="1" thickBot="1" x14ac:dyDescent="0.3">
      <c r="A2" s="162"/>
      <c r="B2" s="163"/>
      <c r="C2" s="119"/>
      <c r="D2" s="156"/>
      <c r="E2" s="157"/>
      <c r="F2" s="157"/>
      <c r="G2" s="158"/>
      <c r="H2" s="138" t="s">
        <v>1015</v>
      </c>
      <c r="I2" s="55" t="s">
        <v>74</v>
      </c>
      <c r="J2" s="55" t="s">
        <v>75</v>
      </c>
      <c r="K2" s="55" t="s">
        <v>1016</v>
      </c>
      <c r="L2" s="55" t="s">
        <v>1017</v>
      </c>
      <c r="M2" s="10" t="s">
        <v>29</v>
      </c>
      <c r="N2" s="11" t="s">
        <v>30</v>
      </c>
      <c r="O2" s="11" t="s">
        <v>31</v>
      </c>
      <c r="P2" s="11" t="s">
        <v>32</v>
      </c>
      <c r="Q2" s="11" t="s">
        <v>33</v>
      </c>
      <c r="R2" s="11" t="s">
        <v>34</v>
      </c>
      <c r="S2" s="49" t="s">
        <v>35</v>
      </c>
      <c r="T2" s="46" t="s">
        <v>791</v>
      </c>
    </row>
    <row r="3" spans="1:20" ht="22.5" customHeight="1" thickBot="1" x14ac:dyDescent="0.3">
      <c r="A3" s="164"/>
      <c r="B3" s="165"/>
      <c r="C3" s="120" t="s">
        <v>966</v>
      </c>
      <c r="D3" s="56" t="s">
        <v>76</v>
      </c>
      <c r="E3" s="57" t="s">
        <v>2</v>
      </c>
      <c r="F3" s="58" t="s">
        <v>70</v>
      </c>
      <c r="G3" s="58" t="s">
        <v>872</v>
      </c>
      <c r="H3" s="13" t="s">
        <v>1018</v>
      </c>
      <c r="I3" s="139" t="s">
        <v>1019</v>
      </c>
      <c r="J3" s="14" t="s">
        <v>1020</v>
      </c>
      <c r="K3" s="47" t="s">
        <v>1021</v>
      </c>
      <c r="L3" s="47" t="s">
        <v>1022</v>
      </c>
      <c r="M3" s="13" t="s">
        <v>775</v>
      </c>
      <c r="N3" s="48" t="s">
        <v>1009</v>
      </c>
      <c r="O3" s="48" t="s">
        <v>1010</v>
      </c>
      <c r="P3" s="48" t="s">
        <v>1011</v>
      </c>
      <c r="Q3" s="48" t="s">
        <v>1012</v>
      </c>
      <c r="R3" s="48" t="s">
        <v>1013</v>
      </c>
      <c r="S3" s="50" t="s">
        <v>1014</v>
      </c>
      <c r="T3" s="59" t="s">
        <v>792</v>
      </c>
    </row>
    <row r="4" spans="1:20" ht="22.5" customHeight="1" x14ac:dyDescent="0.25">
      <c r="A4" s="126" t="s">
        <v>776</v>
      </c>
      <c r="B4" s="127"/>
      <c r="C4" s="121">
        <v>24</v>
      </c>
      <c r="D4" s="85" t="s">
        <v>804</v>
      </c>
      <c r="E4" s="7" t="s">
        <v>805</v>
      </c>
      <c r="F4" s="6">
        <f>SUM(H4:L4)</f>
        <v>0</v>
      </c>
      <c r="G4" s="65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</row>
    <row r="5" spans="1:20" ht="22.5" customHeight="1" x14ac:dyDescent="0.25">
      <c r="A5" s="128"/>
      <c r="B5" s="129"/>
      <c r="C5" s="121">
        <v>25</v>
      </c>
      <c r="D5" s="85" t="s">
        <v>806</v>
      </c>
      <c r="E5" s="7" t="s">
        <v>805</v>
      </c>
      <c r="F5" s="6">
        <f t="shared" ref="F5:F42" si="0">SUM(H5:L5)</f>
        <v>0</v>
      </c>
      <c r="G5" s="65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70"/>
    </row>
    <row r="6" spans="1:20" ht="22.5" customHeight="1" x14ac:dyDescent="0.25">
      <c r="A6" s="128"/>
      <c r="B6" s="129"/>
      <c r="C6" s="121">
        <v>26</v>
      </c>
      <c r="D6" s="85" t="s">
        <v>807</v>
      </c>
      <c r="E6" s="7" t="s">
        <v>805</v>
      </c>
      <c r="F6" s="6">
        <f t="shared" si="0"/>
        <v>0</v>
      </c>
      <c r="G6" s="65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70"/>
    </row>
    <row r="7" spans="1:20" ht="30" x14ac:dyDescent="0.25">
      <c r="A7" s="128"/>
      <c r="B7" s="129"/>
      <c r="C7" s="121">
        <v>27</v>
      </c>
      <c r="D7" s="85" t="s">
        <v>808</v>
      </c>
      <c r="E7" s="7" t="s">
        <v>805</v>
      </c>
      <c r="F7" s="6">
        <f t="shared" si="0"/>
        <v>0</v>
      </c>
      <c r="G7" s="65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70"/>
    </row>
    <row r="8" spans="1:20" ht="22.5" customHeight="1" x14ac:dyDescent="0.25">
      <c r="A8" s="128"/>
      <c r="B8" s="129"/>
      <c r="C8" s="121">
        <v>13</v>
      </c>
      <c r="D8" s="85" t="s">
        <v>38</v>
      </c>
      <c r="E8" s="7" t="s">
        <v>39</v>
      </c>
      <c r="F8" s="6">
        <f t="shared" si="0"/>
        <v>0</v>
      </c>
      <c r="G8" s="65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70"/>
    </row>
    <row r="9" spans="1:20" ht="22.5" customHeight="1" x14ac:dyDescent="0.25">
      <c r="A9" s="128"/>
      <c r="B9" s="129"/>
      <c r="C9" s="121">
        <v>15</v>
      </c>
      <c r="D9" s="85" t="s">
        <v>793</v>
      </c>
      <c r="E9" s="7" t="s">
        <v>794</v>
      </c>
      <c r="F9" s="6">
        <f t="shared" si="0"/>
        <v>0</v>
      </c>
      <c r="G9" s="65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70"/>
    </row>
    <row r="10" spans="1:20" ht="22.5" customHeight="1" x14ac:dyDescent="0.25">
      <c r="A10" s="128"/>
      <c r="B10" s="129"/>
      <c r="C10" s="121">
        <v>17</v>
      </c>
      <c r="D10" s="85" t="s">
        <v>795</v>
      </c>
      <c r="E10" s="7" t="s">
        <v>796</v>
      </c>
      <c r="F10" s="6">
        <f t="shared" si="0"/>
        <v>0</v>
      </c>
      <c r="G10" s="65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70"/>
    </row>
    <row r="11" spans="1:20" ht="22.5" customHeight="1" x14ac:dyDescent="0.25">
      <c r="A11" s="128"/>
      <c r="B11" s="129"/>
      <c r="C11" s="121">
        <v>18</v>
      </c>
      <c r="D11" s="85" t="s">
        <v>797</v>
      </c>
      <c r="E11" s="7" t="s">
        <v>798</v>
      </c>
      <c r="F11" s="6">
        <f t="shared" si="0"/>
        <v>0</v>
      </c>
      <c r="G11" s="65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70"/>
    </row>
    <row r="12" spans="1:20" ht="22.5" customHeight="1" x14ac:dyDescent="0.25">
      <c r="A12" s="128"/>
      <c r="B12" s="129"/>
      <c r="C12" s="121">
        <v>19</v>
      </c>
      <c r="D12" s="85" t="s">
        <v>799</v>
      </c>
      <c r="E12" s="7" t="s">
        <v>800</v>
      </c>
      <c r="F12" s="6">
        <f t="shared" si="0"/>
        <v>0</v>
      </c>
      <c r="G12" s="65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70"/>
    </row>
    <row r="13" spans="1:20" ht="22.5" customHeight="1" x14ac:dyDescent="0.25">
      <c r="A13" s="128"/>
      <c r="B13" s="129"/>
      <c r="C13" s="121">
        <v>21</v>
      </c>
      <c r="D13" s="85" t="s">
        <v>801</v>
      </c>
      <c r="E13" s="7" t="s">
        <v>802</v>
      </c>
      <c r="F13" s="6">
        <f t="shared" si="0"/>
        <v>0</v>
      </c>
      <c r="G13" s="65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70"/>
    </row>
    <row r="14" spans="1:20" ht="22.5" customHeight="1" x14ac:dyDescent="0.25">
      <c r="A14" s="128"/>
      <c r="B14" s="129"/>
      <c r="C14" s="121">
        <v>22</v>
      </c>
      <c r="D14" s="85" t="s">
        <v>45</v>
      </c>
      <c r="E14" s="7" t="s">
        <v>46</v>
      </c>
      <c r="F14" s="6">
        <f t="shared" si="0"/>
        <v>0</v>
      </c>
      <c r="G14" s="65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70"/>
    </row>
    <row r="15" spans="1:20" ht="22.5" customHeight="1" x14ac:dyDescent="0.25">
      <c r="A15" s="128"/>
      <c r="B15" s="129"/>
      <c r="C15" s="121">
        <v>23</v>
      </c>
      <c r="D15" s="85" t="s">
        <v>803</v>
      </c>
      <c r="E15" s="7" t="s">
        <v>19</v>
      </c>
      <c r="F15" s="6">
        <f t="shared" si="0"/>
        <v>0</v>
      </c>
      <c r="G15" s="65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70"/>
    </row>
    <row r="16" spans="1:20" ht="22.5" customHeight="1" x14ac:dyDescent="0.25">
      <c r="A16" s="128"/>
      <c r="B16" s="129"/>
      <c r="C16" s="121">
        <v>28</v>
      </c>
      <c r="D16" s="85" t="s">
        <v>967</v>
      </c>
      <c r="E16" s="7" t="s">
        <v>809</v>
      </c>
      <c r="F16" s="6">
        <f t="shared" si="0"/>
        <v>0</v>
      </c>
      <c r="G16" s="65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0"/>
    </row>
    <row r="17" spans="1:20" ht="22.5" customHeight="1" x14ac:dyDescent="0.25">
      <c r="A17" s="128"/>
      <c r="B17" s="129"/>
      <c r="C17" s="121">
        <v>29</v>
      </c>
      <c r="D17" s="85" t="s">
        <v>810</v>
      </c>
      <c r="E17" s="7" t="s">
        <v>811</v>
      </c>
      <c r="F17" s="6">
        <f t="shared" si="0"/>
        <v>0</v>
      </c>
      <c r="G17" s="65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70"/>
    </row>
    <row r="18" spans="1:20" ht="22.5" customHeight="1" x14ac:dyDescent="0.25">
      <c r="A18" s="128"/>
      <c r="B18" s="129"/>
      <c r="C18" s="121">
        <v>30</v>
      </c>
      <c r="D18" s="85" t="s">
        <v>812</v>
      </c>
      <c r="E18" s="7" t="s">
        <v>813</v>
      </c>
      <c r="F18" s="6">
        <f t="shared" si="0"/>
        <v>0</v>
      </c>
      <c r="G18" s="65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70"/>
    </row>
    <row r="19" spans="1:20" ht="22.5" customHeight="1" x14ac:dyDescent="0.25">
      <c r="A19" s="128"/>
      <c r="B19" s="129"/>
      <c r="C19" s="121">
        <v>31</v>
      </c>
      <c r="D19" s="85" t="s">
        <v>968</v>
      </c>
      <c r="E19" s="7" t="s">
        <v>814</v>
      </c>
      <c r="F19" s="6">
        <f t="shared" si="0"/>
        <v>0</v>
      </c>
      <c r="G19" s="65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70"/>
    </row>
    <row r="20" spans="1:20" ht="22.5" customHeight="1" x14ac:dyDescent="0.25">
      <c r="A20" s="128"/>
      <c r="B20" s="129"/>
      <c r="C20" s="121">
        <v>32</v>
      </c>
      <c r="D20" s="85" t="s">
        <v>969</v>
      </c>
      <c r="E20" s="7" t="s">
        <v>815</v>
      </c>
      <c r="F20" s="6">
        <f t="shared" si="0"/>
        <v>0</v>
      </c>
      <c r="G20" s="65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70"/>
    </row>
    <row r="21" spans="1:20" ht="22.5" customHeight="1" x14ac:dyDescent="0.25">
      <c r="A21" s="128"/>
      <c r="B21" s="129"/>
      <c r="C21" s="121">
        <v>33</v>
      </c>
      <c r="D21" s="85" t="s">
        <v>970</v>
      </c>
      <c r="E21" s="7" t="s">
        <v>815</v>
      </c>
      <c r="F21" s="6">
        <f t="shared" si="0"/>
        <v>0</v>
      </c>
      <c r="G21" s="65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70"/>
    </row>
    <row r="22" spans="1:20" ht="22.5" customHeight="1" thickBot="1" x14ac:dyDescent="0.3">
      <c r="A22" s="130"/>
      <c r="B22" s="131"/>
      <c r="C22" s="121">
        <v>34</v>
      </c>
      <c r="D22" s="86" t="s">
        <v>816</v>
      </c>
      <c r="E22" s="60" t="s">
        <v>817</v>
      </c>
      <c r="F22" s="6">
        <f t="shared" si="0"/>
        <v>0</v>
      </c>
      <c r="G22" s="71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3"/>
    </row>
    <row r="23" spans="1:20" ht="45" customHeight="1" x14ac:dyDescent="0.25">
      <c r="A23" s="132" t="s">
        <v>777</v>
      </c>
      <c r="B23" s="160" t="s">
        <v>818</v>
      </c>
      <c r="C23" s="122">
        <v>37</v>
      </c>
      <c r="D23" s="61" t="s">
        <v>50</v>
      </c>
      <c r="E23" s="7" t="s">
        <v>19</v>
      </c>
      <c r="F23" s="6">
        <f t="shared" si="0"/>
        <v>0</v>
      </c>
      <c r="G23" s="65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74"/>
      <c r="T23" s="70"/>
    </row>
    <row r="24" spans="1:20" ht="30" x14ac:dyDescent="0.25">
      <c r="A24" s="133"/>
      <c r="B24" s="160"/>
      <c r="C24" s="122">
        <v>38</v>
      </c>
      <c r="D24" s="61" t="s">
        <v>51</v>
      </c>
      <c r="E24" s="7" t="s">
        <v>19</v>
      </c>
      <c r="F24" s="6">
        <f t="shared" si="0"/>
        <v>0</v>
      </c>
      <c r="G24" s="65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74"/>
      <c r="T24" s="70"/>
    </row>
    <row r="25" spans="1:20" ht="45" x14ac:dyDescent="0.25">
      <c r="A25" s="133"/>
      <c r="B25" s="160"/>
      <c r="C25" s="122">
        <v>39</v>
      </c>
      <c r="D25" s="61" t="s">
        <v>52</v>
      </c>
      <c r="E25" s="7" t="s">
        <v>19</v>
      </c>
      <c r="F25" s="6">
        <f t="shared" si="0"/>
        <v>0</v>
      </c>
      <c r="G25" s="65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74"/>
      <c r="T25" s="70"/>
    </row>
    <row r="26" spans="1:20" ht="45" x14ac:dyDescent="0.25">
      <c r="A26" s="133"/>
      <c r="B26" s="160"/>
      <c r="C26" s="122">
        <v>40</v>
      </c>
      <c r="D26" s="61" t="s">
        <v>53</v>
      </c>
      <c r="E26" s="7" t="s">
        <v>19</v>
      </c>
      <c r="F26" s="6">
        <f t="shared" si="0"/>
        <v>0</v>
      </c>
      <c r="G26" s="65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74"/>
      <c r="T26" s="70"/>
    </row>
    <row r="27" spans="1:20" ht="30" x14ac:dyDescent="0.25">
      <c r="A27" s="133"/>
      <c r="B27" s="160"/>
      <c r="C27" s="122">
        <v>41</v>
      </c>
      <c r="D27" s="61" t="s">
        <v>54</v>
      </c>
      <c r="E27" s="7" t="s">
        <v>19</v>
      </c>
      <c r="F27" s="6">
        <f t="shared" si="0"/>
        <v>0</v>
      </c>
      <c r="G27" s="65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74"/>
      <c r="T27" s="70"/>
    </row>
    <row r="28" spans="1:20" ht="45.75" thickBot="1" x14ac:dyDescent="0.3">
      <c r="A28" s="133"/>
      <c r="B28" s="161"/>
      <c r="C28" s="122">
        <v>42</v>
      </c>
      <c r="D28" s="61" t="s">
        <v>55</v>
      </c>
      <c r="E28" s="7" t="s">
        <v>19</v>
      </c>
      <c r="F28" s="6">
        <f t="shared" si="0"/>
        <v>0</v>
      </c>
      <c r="G28" s="65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74"/>
      <c r="T28" s="70"/>
    </row>
    <row r="29" spans="1:20" ht="22.5" customHeight="1" x14ac:dyDescent="0.25">
      <c r="A29" s="133"/>
      <c r="B29" s="135" t="s">
        <v>819</v>
      </c>
      <c r="C29" s="122">
        <v>43</v>
      </c>
      <c r="D29" s="61" t="s">
        <v>56</v>
      </c>
      <c r="E29" s="7" t="s">
        <v>28</v>
      </c>
      <c r="F29" s="6">
        <f t="shared" si="0"/>
        <v>0</v>
      </c>
      <c r="G29" s="65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74"/>
      <c r="T29" s="70"/>
    </row>
    <row r="30" spans="1:20" ht="22.5" customHeight="1" x14ac:dyDescent="0.25">
      <c r="A30" s="133"/>
      <c r="B30" s="136"/>
      <c r="C30" s="122">
        <v>44</v>
      </c>
      <c r="D30" s="61" t="s">
        <v>57</v>
      </c>
      <c r="E30" s="7" t="s">
        <v>19</v>
      </c>
      <c r="F30" s="6">
        <f t="shared" si="0"/>
        <v>0</v>
      </c>
      <c r="G30" s="65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74"/>
      <c r="T30" s="70"/>
    </row>
    <row r="31" spans="1:20" ht="22.5" customHeight="1" x14ac:dyDescent="0.25">
      <c r="A31" s="133"/>
      <c r="B31" s="136"/>
      <c r="C31" s="122">
        <v>45</v>
      </c>
      <c r="D31" s="61" t="s">
        <v>58</v>
      </c>
      <c r="E31" s="7" t="s">
        <v>19</v>
      </c>
      <c r="F31" s="6">
        <f t="shared" si="0"/>
        <v>0</v>
      </c>
      <c r="G31" s="65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74"/>
      <c r="T31" s="70"/>
    </row>
    <row r="32" spans="1:20" ht="22.5" customHeight="1" x14ac:dyDescent="0.25">
      <c r="A32" s="133"/>
      <c r="B32" s="137"/>
      <c r="C32" s="122">
        <v>46</v>
      </c>
      <c r="D32" s="61" t="s">
        <v>59</v>
      </c>
      <c r="E32" s="7" t="s">
        <v>25</v>
      </c>
      <c r="F32" s="6">
        <f t="shared" si="0"/>
        <v>0</v>
      </c>
      <c r="G32" s="65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74"/>
      <c r="T32" s="70"/>
    </row>
    <row r="33" spans="1:20" ht="22.5" customHeight="1" thickBot="1" x14ac:dyDescent="0.3">
      <c r="A33" s="128"/>
      <c r="B33" s="129"/>
      <c r="C33" s="123">
        <v>56</v>
      </c>
      <c r="D33" s="85" t="s">
        <v>67</v>
      </c>
      <c r="E33" s="7" t="s">
        <v>19</v>
      </c>
      <c r="F33" s="6">
        <f t="shared" si="0"/>
        <v>0</v>
      </c>
      <c r="G33" s="65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70"/>
    </row>
    <row r="34" spans="1:20" ht="22.5" customHeight="1" x14ac:dyDescent="0.25">
      <c r="A34" s="133"/>
      <c r="B34" s="159" t="s">
        <v>820</v>
      </c>
      <c r="C34" s="122">
        <v>47</v>
      </c>
      <c r="D34" s="61" t="s">
        <v>60</v>
      </c>
      <c r="E34" s="7" t="s">
        <v>28</v>
      </c>
      <c r="F34" s="6">
        <f t="shared" si="0"/>
        <v>0</v>
      </c>
      <c r="G34" s="65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74"/>
      <c r="T34" s="70"/>
    </row>
    <row r="35" spans="1:20" ht="22.5" customHeight="1" x14ac:dyDescent="0.25">
      <c r="A35" s="133"/>
      <c r="B35" s="160"/>
      <c r="C35" s="122">
        <v>48</v>
      </c>
      <c r="D35" s="61" t="s">
        <v>61</v>
      </c>
      <c r="E35" s="7" t="s">
        <v>28</v>
      </c>
      <c r="F35" s="6">
        <f t="shared" si="0"/>
        <v>0</v>
      </c>
      <c r="G35" s="65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74"/>
      <c r="T35" s="70"/>
    </row>
    <row r="36" spans="1:20" ht="22.5" customHeight="1" thickBot="1" x14ac:dyDescent="0.3">
      <c r="A36" s="133"/>
      <c r="B36" s="161"/>
      <c r="C36" s="122">
        <v>49</v>
      </c>
      <c r="D36" s="61" t="s">
        <v>62</v>
      </c>
      <c r="E36" s="7" t="s">
        <v>28</v>
      </c>
      <c r="F36" s="6">
        <f t="shared" si="0"/>
        <v>0</v>
      </c>
      <c r="G36" s="65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74"/>
      <c r="T36" s="70"/>
    </row>
    <row r="37" spans="1:20" ht="22.5" customHeight="1" x14ac:dyDescent="0.25">
      <c r="A37" s="133"/>
      <c r="B37" s="159" t="s">
        <v>821</v>
      </c>
      <c r="C37" s="122">
        <v>50</v>
      </c>
      <c r="D37" s="61" t="s">
        <v>63</v>
      </c>
      <c r="E37" s="7" t="s">
        <v>28</v>
      </c>
      <c r="F37" s="6">
        <f t="shared" si="0"/>
        <v>0</v>
      </c>
      <c r="G37" s="65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74"/>
      <c r="T37" s="70"/>
    </row>
    <row r="38" spans="1:20" ht="22.5" customHeight="1" x14ac:dyDescent="0.25">
      <c r="A38" s="133"/>
      <c r="B38" s="160"/>
      <c r="C38" s="122">
        <v>51</v>
      </c>
      <c r="D38" s="61" t="s">
        <v>64</v>
      </c>
      <c r="E38" s="7" t="s">
        <v>28</v>
      </c>
      <c r="F38" s="6">
        <f t="shared" si="0"/>
        <v>0</v>
      </c>
      <c r="G38" s="65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74"/>
      <c r="T38" s="70"/>
    </row>
    <row r="39" spans="1:20" ht="22.5" customHeight="1" x14ac:dyDescent="0.25">
      <c r="A39" s="133"/>
      <c r="B39" s="160"/>
      <c r="C39" s="122">
        <v>52</v>
      </c>
      <c r="D39" s="61" t="s">
        <v>65</v>
      </c>
      <c r="E39" s="7" t="s">
        <v>28</v>
      </c>
      <c r="F39" s="6">
        <f t="shared" si="0"/>
        <v>0</v>
      </c>
      <c r="G39" s="65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74"/>
      <c r="T39" s="70"/>
    </row>
    <row r="40" spans="1:20" ht="22.5" customHeight="1" thickBot="1" x14ac:dyDescent="0.3">
      <c r="A40" s="133"/>
      <c r="B40" s="161"/>
      <c r="C40" s="122">
        <v>53</v>
      </c>
      <c r="D40" s="61" t="s">
        <v>66</v>
      </c>
      <c r="E40" s="7" t="s">
        <v>68</v>
      </c>
      <c r="F40" s="6">
        <f t="shared" si="0"/>
        <v>0</v>
      </c>
      <c r="G40" s="65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74"/>
      <c r="T40" s="70"/>
    </row>
    <row r="41" spans="1:20" ht="22.5" customHeight="1" x14ac:dyDescent="0.25">
      <c r="A41" s="133"/>
      <c r="B41" s="159" t="s">
        <v>822</v>
      </c>
      <c r="C41" s="122">
        <v>54</v>
      </c>
      <c r="D41" s="85" t="s">
        <v>823</v>
      </c>
      <c r="E41" s="7" t="s">
        <v>824</v>
      </c>
      <c r="F41" s="6">
        <f t="shared" si="0"/>
        <v>0</v>
      </c>
      <c r="G41" s="65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74"/>
      <c r="T41" s="70"/>
    </row>
    <row r="42" spans="1:20" ht="22.5" customHeight="1" thickBot="1" x14ac:dyDescent="0.3">
      <c r="A42" s="134"/>
      <c r="B42" s="161"/>
      <c r="C42" s="124">
        <v>55</v>
      </c>
      <c r="D42" s="117" t="s">
        <v>825</v>
      </c>
      <c r="E42" s="20" t="s">
        <v>824</v>
      </c>
      <c r="F42" s="6">
        <f t="shared" si="0"/>
        <v>0</v>
      </c>
      <c r="G42" s="67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6"/>
      <c r="T42" s="77"/>
    </row>
  </sheetData>
  <sheetProtection algorithmName="SHA-512" hashValue="waFkYluFR1RhShJC8RW7+9UZRFLc793f5/lJKRZwiYJOIwr3oqedhHW2dwgvdPGW/DhMCyjPuj5cXrLZsDPGGg==" saltValue="LvrB7EvK5dYCEI3zFqGPGg==" spinCount="100000" sheet="1" objects="1" scenarios="1" selectLockedCells="1"/>
  <mergeCells count="6">
    <mergeCell ref="B37:B40"/>
    <mergeCell ref="B41:B42"/>
    <mergeCell ref="A2:B3"/>
    <mergeCell ref="D2:G2"/>
    <mergeCell ref="B23:B28"/>
    <mergeCell ref="B34:B36"/>
  </mergeCells>
  <dataValidations count="1">
    <dataValidation errorStyle="warning" operator="equal" allowBlank="1" showInputMessage="1" showErrorMessage="1" errorTitle="Wrong Totals" error="The totals (calculated and declared) are not equals._x000a_Please verify your declaration." sqref="G4:T42" xr:uid="{B72DCC12-5A91-4191-961E-E04A72AADC78}"/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6A91-6DE1-4EC9-9AE2-0A760A61288C}">
  <sheetPr codeName="Feuil7">
    <tabColor theme="4" tint="0.39997558519241921"/>
  </sheetPr>
  <dimension ref="A1:E11"/>
  <sheetViews>
    <sheetView workbookViewId="0">
      <selection activeCell="B3" sqref="A3:F402"/>
    </sheetView>
  </sheetViews>
  <sheetFormatPr baseColWidth="10" defaultRowHeight="15" x14ac:dyDescent="0.25"/>
  <cols>
    <col min="1" max="1" width="9" bestFit="1" customWidth="1"/>
    <col min="2" max="2" width="82.140625" bestFit="1" customWidth="1"/>
    <col min="3" max="3" width="8.5703125" bestFit="1" customWidth="1"/>
    <col min="4" max="4" width="10.140625" bestFit="1" customWidth="1"/>
    <col min="5" max="5" width="12.28515625" bestFit="1" customWidth="1"/>
    <col min="11" max="11" width="82.140625" bestFit="1" customWidth="1"/>
    <col min="12" max="12" width="4" bestFit="1" customWidth="1"/>
    <col min="13" max="13" width="2" bestFit="1" customWidth="1"/>
    <col min="14" max="14" width="5" bestFit="1" customWidth="1"/>
  </cols>
  <sheetData>
    <row r="1" spans="1:5" x14ac:dyDescent="0.25">
      <c r="A1" cm="1">
        <f t="array" ref="A1:E11">_xlfn._xlws.SORT(_xlfn._xlws.FILTER(Tableau_Nomenclature[],Tableau_Nomenclature[tree_level]=1,""),2)</f>
        <v>483</v>
      </c>
      <c r="B1" t="str">
        <v>building security</v>
      </c>
      <c r="C1">
        <v>479</v>
      </c>
      <c r="D1">
        <v>1</v>
      </c>
      <c r="E1" t="str">
        <v>true</v>
      </c>
    </row>
    <row r="2" spans="1:5" x14ac:dyDescent="0.25">
      <c r="A2">
        <v>27000000</v>
      </c>
      <c r="B2" t="str">
        <v>Electric engineering, automation, process control engineering</v>
      </c>
      <c r="C2">
        <v>479</v>
      </c>
      <c r="D2">
        <v>1</v>
      </c>
      <c r="E2" t="str">
        <v>true</v>
      </c>
    </row>
    <row r="3" spans="1:5" x14ac:dyDescent="0.25">
      <c r="A3">
        <v>952</v>
      </c>
      <c r="B3" t="str">
        <v>EV Charging Infrastructures</v>
      </c>
      <c r="C3">
        <v>479</v>
      </c>
      <c r="D3">
        <v>1</v>
      </c>
      <c r="E3" t="str">
        <v>true</v>
      </c>
    </row>
    <row r="4" spans="1:5" x14ac:dyDescent="0.25">
      <c r="A4">
        <v>484</v>
      </c>
      <c r="B4" t="str">
        <v>Heating, ventilation and air conditioning equipement</v>
      </c>
      <c r="C4">
        <v>479</v>
      </c>
      <c r="D4">
        <v>1</v>
      </c>
      <c r="E4" t="str">
        <v>true</v>
      </c>
    </row>
    <row r="5" spans="1:5" x14ac:dyDescent="0.25">
      <c r="A5">
        <v>480</v>
      </c>
      <c r="B5" t="str">
        <v>Installation wiring devices for electric power and communication networks (= 63 amperes)</v>
      </c>
      <c r="C5">
        <v>479</v>
      </c>
      <c r="D5">
        <v>1</v>
      </c>
      <c r="E5" t="str">
        <v>true</v>
      </c>
    </row>
    <row r="6" spans="1:5" x14ac:dyDescent="0.25">
      <c r="A6">
        <v>773</v>
      </c>
      <c r="B6" t="str">
        <v>Lighting products</v>
      </c>
      <c r="C6">
        <v>479</v>
      </c>
      <c r="D6">
        <v>1</v>
      </c>
      <c r="E6" t="str">
        <v>true</v>
      </c>
    </row>
    <row r="7" spans="1:5" x14ac:dyDescent="0.25">
      <c r="A7">
        <v>485</v>
      </c>
      <c r="B7" t="str">
        <v>Local electricty production</v>
      </c>
      <c r="C7">
        <v>479</v>
      </c>
      <c r="D7">
        <v>1</v>
      </c>
      <c r="E7" t="str">
        <v>true</v>
      </c>
    </row>
    <row r="8" spans="1:5" x14ac:dyDescent="0.25">
      <c r="A8">
        <v>486</v>
      </c>
      <c r="B8" t="str">
        <v>Others</v>
      </c>
      <c r="C8">
        <v>479</v>
      </c>
      <c r="D8">
        <v>1</v>
      </c>
      <c r="E8" t="str">
        <v>false</v>
      </c>
    </row>
    <row r="9" spans="1:5" x14ac:dyDescent="0.25">
      <c r="A9">
        <v>482</v>
      </c>
      <c r="B9" t="str">
        <v>people safety and access control</v>
      </c>
      <c r="C9">
        <v>479</v>
      </c>
      <c r="D9">
        <v>1</v>
      </c>
      <c r="E9" t="str">
        <v>true</v>
      </c>
    </row>
    <row r="10" spans="1:5" x14ac:dyDescent="0.25">
      <c r="A10">
        <v>1051</v>
      </c>
      <c r="B10" t="str">
        <v>Transportation of people or goods in buildings</v>
      </c>
      <c r="C10">
        <v>479</v>
      </c>
      <c r="D10">
        <v>1</v>
      </c>
      <c r="E10" t="str">
        <v>true</v>
      </c>
    </row>
    <row r="11" spans="1:5" x14ac:dyDescent="0.25">
      <c r="A11">
        <v>481</v>
      </c>
      <c r="B11" t="str">
        <v>Wires and cables</v>
      </c>
      <c r="C11">
        <v>479</v>
      </c>
      <c r="D11">
        <v>1</v>
      </c>
      <c r="E11" t="str">
        <v>true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9A50-4FF7-4510-AA29-CB0B99C39DA2}">
  <sheetPr codeName="Feuil8">
    <tabColor theme="4" tint="0.39997558519241921"/>
  </sheetPr>
  <dimension ref="A1:E1"/>
  <sheetViews>
    <sheetView workbookViewId="0">
      <selection activeCell="B3" sqref="A3:F402"/>
    </sheetView>
  </sheetViews>
  <sheetFormatPr baseColWidth="10" defaultRowHeight="15" x14ac:dyDescent="0.25"/>
  <cols>
    <col min="1" max="1" width="9.5703125" bestFit="1" customWidth="1"/>
    <col min="2" max="2" width="82.140625" bestFit="1" customWidth="1"/>
    <col min="3" max="3" width="8.5703125" bestFit="1" customWidth="1"/>
    <col min="4" max="4" width="10.140625" bestFit="1" customWidth="1"/>
    <col min="5" max="5" width="12.28515625" bestFit="1" customWidth="1"/>
    <col min="11" max="11" width="82.140625" bestFit="1" customWidth="1"/>
    <col min="12" max="12" width="4" bestFit="1" customWidth="1"/>
    <col min="13" max="13" width="2" bestFit="1" customWidth="1"/>
    <col min="14" max="14" width="5" bestFit="1" customWidth="1"/>
  </cols>
  <sheetData>
    <row r="1" spans="1:5" x14ac:dyDescent="0.25">
      <c r="A1" cm="1">
        <f t="array" ref="A1:E1">_xlfn._xlws.SORT(_xlfn._xlws.FILTER(Tableau_Nomenclature[],Tableau_Nomenclature[idParent]='PEP Declaration'!D4,""),2)</f>
        <v>479</v>
      </c>
      <c r="B1" t="str">
        <v>Electric and electronic equipment</v>
      </c>
      <c r="C1">
        <v>0</v>
      </c>
      <c r="D1">
        <v>0</v>
      </c>
      <c r="E1" t="str">
        <v>true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577E-072E-4FE6-9070-CB9AFDFA32B4}">
  <sheetPr codeName="Feuil9">
    <tabColor theme="4" tint="0.39997558519241921"/>
  </sheetPr>
  <dimension ref="A1:E1"/>
  <sheetViews>
    <sheetView workbookViewId="0">
      <selection activeCell="B3" sqref="A3:F402"/>
    </sheetView>
  </sheetViews>
  <sheetFormatPr baseColWidth="10" defaultRowHeight="15" x14ac:dyDescent="0.25"/>
  <cols>
    <col min="1" max="1" width="9.5703125" bestFit="1" customWidth="1"/>
    <col min="2" max="2" width="82.140625" bestFit="1" customWidth="1"/>
    <col min="3" max="3" width="8.5703125" bestFit="1" customWidth="1"/>
    <col min="4" max="4" width="10.140625" bestFit="1" customWidth="1"/>
    <col min="5" max="5" width="12.28515625" bestFit="1" customWidth="1"/>
    <col min="11" max="11" width="82.140625" bestFit="1" customWidth="1"/>
    <col min="12" max="12" width="4" bestFit="1" customWidth="1"/>
    <col min="13" max="13" width="2" bestFit="1" customWidth="1"/>
    <col min="14" max="14" width="5" bestFit="1" customWidth="1"/>
  </cols>
  <sheetData>
    <row r="1" spans="1:5" x14ac:dyDescent="0.25">
      <c r="A1" cm="1">
        <f t="array" ref="A1:E1">_xlfn._xlws.SORT(_xlfn._xlws.FILTER(Tableau_Nomenclature[],Tableau_Nomenclature[idParent]='PEP Declaration'!F4,""),2)</f>
        <v>479</v>
      </c>
      <c r="B1" t="str">
        <v>Electric and electronic equipment</v>
      </c>
      <c r="C1">
        <v>0</v>
      </c>
      <c r="D1">
        <v>0</v>
      </c>
      <c r="E1" t="str">
        <v>true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796E-BE7E-476E-A333-BD696C9A4713}">
  <sheetPr codeName="Feuil10">
    <tabColor theme="4" tint="0.39997558519241921"/>
  </sheetPr>
  <dimension ref="A1:E1"/>
  <sheetViews>
    <sheetView workbookViewId="0">
      <selection activeCell="B3" sqref="A3:F402"/>
    </sheetView>
  </sheetViews>
  <sheetFormatPr baseColWidth="10" defaultRowHeight="15" x14ac:dyDescent="0.25"/>
  <cols>
    <col min="1" max="1" width="9.5703125" bestFit="1" customWidth="1"/>
    <col min="2" max="2" width="82.140625" bestFit="1" customWidth="1"/>
    <col min="3" max="3" width="8.5703125" bestFit="1" customWidth="1"/>
    <col min="4" max="4" width="10.140625" bestFit="1" customWidth="1"/>
    <col min="5" max="5" width="12.28515625" bestFit="1" customWidth="1"/>
    <col min="11" max="11" width="82.140625" bestFit="1" customWidth="1"/>
    <col min="12" max="12" width="4" bestFit="1" customWidth="1"/>
    <col min="13" max="13" width="2" bestFit="1" customWidth="1"/>
    <col min="14" max="14" width="5" bestFit="1" customWidth="1"/>
  </cols>
  <sheetData>
    <row r="1" spans="1:5" x14ac:dyDescent="0.25">
      <c r="A1" cm="1">
        <f t="array" ref="A1:E1">_xlfn._xlws.SORT(_xlfn._xlws.FILTER(Tableau_Nomenclature[],Tableau_Nomenclature[idParent]='PEP Declaration'!H4,""),2)</f>
        <v>479</v>
      </c>
      <c r="B1" t="str">
        <v>Electric and electronic equipment</v>
      </c>
      <c r="C1">
        <v>0</v>
      </c>
      <c r="D1">
        <v>0</v>
      </c>
      <c r="E1" t="str">
        <v>true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2B5D-CCB9-401A-90DC-3C1A90BF2B7D}">
  <sheetPr codeName="Feuil11">
    <tabColor theme="4" tint="0.39997558519241921"/>
  </sheetPr>
  <dimension ref="A1:H32"/>
  <sheetViews>
    <sheetView zoomScaleNormal="100" workbookViewId="0">
      <selection activeCell="B3" sqref="A3:F402"/>
    </sheetView>
  </sheetViews>
  <sheetFormatPr baseColWidth="10" defaultColWidth="11.42578125" defaultRowHeight="15" x14ac:dyDescent="0.25"/>
  <cols>
    <col min="1" max="1" width="11.42578125" style="2"/>
    <col min="2" max="2" width="32.140625" style="2" bestFit="1" customWidth="1"/>
    <col min="3" max="3" width="11.42578125" style="2"/>
    <col min="4" max="4" width="9.85546875" style="2" bestFit="1" customWidth="1"/>
    <col min="5" max="5" width="13" style="2" customWidth="1"/>
    <col min="6" max="7" width="11.42578125" style="2"/>
    <col min="8" max="8" width="88.7109375" style="2" bestFit="1" customWidth="1"/>
    <col min="9" max="16384" width="11.42578125" style="2"/>
  </cols>
  <sheetData>
    <row r="1" spans="1:8" x14ac:dyDescent="0.25">
      <c r="A1" s="172" t="s">
        <v>486</v>
      </c>
      <c r="B1" s="172"/>
      <c r="D1" s="172" t="s">
        <v>487</v>
      </c>
      <c r="E1" s="172"/>
    </row>
    <row r="2" spans="1:8" x14ac:dyDescent="0.25">
      <c r="A2" s="35" t="s">
        <v>467</v>
      </c>
      <c r="B2" s="35" t="s">
        <v>395</v>
      </c>
      <c r="D2" s="35" t="s">
        <v>467</v>
      </c>
      <c r="E2" s="35" t="s">
        <v>395</v>
      </c>
    </row>
    <row r="3" spans="1:8" x14ac:dyDescent="0.25">
      <c r="A3">
        <v>1</v>
      </c>
      <c r="B3" t="s">
        <v>468</v>
      </c>
      <c r="D3">
        <v>3</v>
      </c>
      <c r="E3" t="s">
        <v>28</v>
      </c>
    </row>
    <row r="4" spans="1:8" x14ac:dyDescent="0.25">
      <c r="A4">
        <v>2</v>
      </c>
      <c r="B4" t="s">
        <v>469</v>
      </c>
    </row>
    <row r="5" spans="1:8" ht="15.75" thickBot="1" x14ac:dyDescent="0.3">
      <c r="A5">
        <v>3</v>
      </c>
      <c r="B5" t="s">
        <v>28</v>
      </c>
    </row>
    <row r="6" spans="1:8" ht="15.75" thickTop="1" x14ac:dyDescent="0.25">
      <c r="A6">
        <v>4</v>
      </c>
      <c r="B6" t="s">
        <v>470</v>
      </c>
      <c r="H6" s="32" t="s">
        <v>124</v>
      </c>
    </row>
    <row r="7" spans="1:8" x14ac:dyDescent="0.25">
      <c r="A7">
        <v>5</v>
      </c>
      <c r="B7" t="s">
        <v>471</v>
      </c>
      <c r="H7" s="33" t="s">
        <v>125</v>
      </c>
    </row>
    <row r="8" spans="1:8" x14ac:dyDescent="0.25">
      <c r="A8">
        <v>6</v>
      </c>
      <c r="B8" t="s">
        <v>19</v>
      </c>
      <c r="H8" s="33" t="s">
        <v>126</v>
      </c>
    </row>
    <row r="9" spans="1:8" ht="15.75" thickBot="1" x14ac:dyDescent="0.3">
      <c r="A9">
        <v>7</v>
      </c>
      <c r="B9" t="s">
        <v>472</v>
      </c>
      <c r="H9" s="34" t="s">
        <v>86</v>
      </c>
    </row>
    <row r="10" spans="1:8" ht="15.75" thickTop="1" x14ac:dyDescent="0.25">
      <c r="A10">
        <v>8</v>
      </c>
      <c r="B10" t="s">
        <v>473</v>
      </c>
    </row>
    <row r="11" spans="1:8" x14ac:dyDescent="0.25">
      <c r="A11">
        <v>9</v>
      </c>
      <c r="B11" t="s">
        <v>474</v>
      </c>
    </row>
    <row r="12" spans="1:8" x14ac:dyDescent="0.25">
      <c r="A12">
        <v>10</v>
      </c>
      <c r="B12" t="s">
        <v>475</v>
      </c>
    </row>
    <row r="13" spans="1:8" x14ac:dyDescent="0.25">
      <c r="A13">
        <v>11</v>
      </c>
      <c r="B13" t="s">
        <v>476</v>
      </c>
    </row>
    <row r="14" spans="1:8" x14ac:dyDescent="0.25">
      <c r="A14">
        <v>13</v>
      </c>
      <c r="B14" t="s">
        <v>2</v>
      </c>
    </row>
    <row r="15" spans="1:8" x14ac:dyDescent="0.25">
      <c r="A15">
        <v>18</v>
      </c>
      <c r="B15" t="s">
        <v>477</v>
      </c>
    </row>
    <row r="16" spans="1:8" x14ac:dyDescent="0.25">
      <c r="A16">
        <v>19</v>
      </c>
      <c r="B16" t="s">
        <v>478</v>
      </c>
    </row>
    <row r="17" spans="1:2" x14ac:dyDescent="0.25">
      <c r="A17">
        <v>22</v>
      </c>
      <c r="B17" t="s">
        <v>479</v>
      </c>
    </row>
    <row r="18" spans="1:2" x14ac:dyDescent="0.25">
      <c r="A18">
        <v>25</v>
      </c>
      <c r="B18" t="s">
        <v>480</v>
      </c>
    </row>
    <row r="19" spans="1:2" x14ac:dyDescent="0.25">
      <c r="A19">
        <v>26</v>
      </c>
      <c r="B19" t="s">
        <v>481</v>
      </c>
    </row>
    <row r="20" spans="1:2" x14ac:dyDescent="0.25">
      <c r="A20">
        <v>37</v>
      </c>
      <c r="B20" t="s">
        <v>482</v>
      </c>
    </row>
    <row r="21" spans="1:2" x14ac:dyDescent="0.25">
      <c r="A21">
        <v>38</v>
      </c>
      <c r="B21" t="s">
        <v>483</v>
      </c>
    </row>
    <row r="22" spans="1:2" x14ac:dyDescent="0.25">
      <c r="A22">
        <v>47</v>
      </c>
      <c r="B22" t="s">
        <v>484</v>
      </c>
    </row>
    <row r="23" spans="1:2" x14ac:dyDescent="0.25">
      <c r="A23">
        <v>49</v>
      </c>
      <c r="B23" t="s">
        <v>832</v>
      </c>
    </row>
    <row r="24" spans="1:2" x14ac:dyDescent="0.25">
      <c r="A24">
        <v>52</v>
      </c>
      <c r="B24" t="s">
        <v>485</v>
      </c>
    </row>
    <row r="25" spans="1:2" x14ac:dyDescent="0.25">
      <c r="A25">
        <v>53</v>
      </c>
      <c r="B25" t="s">
        <v>971</v>
      </c>
    </row>
    <row r="26" spans="1:2" x14ac:dyDescent="0.25">
      <c r="A26">
        <v>57</v>
      </c>
      <c r="B26" t="s">
        <v>972</v>
      </c>
    </row>
    <row r="27" spans="1:2" x14ac:dyDescent="0.25">
      <c r="A27">
        <v>58</v>
      </c>
      <c r="B27" t="s">
        <v>973</v>
      </c>
    </row>
    <row r="28" spans="1:2" x14ac:dyDescent="0.25">
      <c r="A28">
        <v>59</v>
      </c>
      <c r="B28" t="s">
        <v>393</v>
      </c>
    </row>
    <row r="29" spans="1:2" x14ac:dyDescent="0.25">
      <c r="A29">
        <v>70</v>
      </c>
      <c r="B29" t="s">
        <v>974</v>
      </c>
    </row>
    <row r="30" spans="1:2" x14ac:dyDescent="0.25">
      <c r="A30">
        <v>71</v>
      </c>
      <c r="B30" t="s">
        <v>975</v>
      </c>
    </row>
    <row r="31" spans="1:2" x14ac:dyDescent="0.25">
      <c r="A31">
        <v>72</v>
      </c>
      <c r="B31" t="s">
        <v>976</v>
      </c>
    </row>
    <row r="32" spans="1:2" x14ac:dyDescent="0.25">
      <c r="A32">
        <v>73</v>
      </c>
      <c r="B32" t="s">
        <v>977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67C5-D61C-46B3-99C1-7EA6A075F443}">
  <sheetPr codeName="Feuil12">
    <tabColor theme="4" tint="0.39997558519241921"/>
  </sheetPr>
  <dimension ref="A2:L277"/>
  <sheetViews>
    <sheetView workbookViewId="0">
      <selection activeCell="D5" sqref="D5"/>
    </sheetView>
  </sheetViews>
  <sheetFormatPr baseColWidth="10" defaultColWidth="11.42578125" defaultRowHeight="15" x14ac:dyDescent="0.25"/>
  <cols>
    <col min="1" max="1" width="10.7109375" style="36" customWidth="1"/>
    <col min="2" max="2" width="26.42578125" style="2" customWidth="1"/>
    <col min="3" max="3" width="10.7109375" style="2" customWidth="1"/>
    <col min="4" max="4" width="10.7109375" style="36" customWidth="1"/>
    <col min="5" max="5" width="52.140625" style="2" bestFit="1" customWidth="1"/>
    <col min="6" max="6" width="10.7109375" style="2" customWidth="1"/>
    <col min="7" max="7" width="10.7109375" style="36" customWidth="1"/>
    <col min="8" max="8" width="19.42578125" style="2" bestFit="1" customWidth="1"/>
    <col min="9" max="9" width="10.7109375" style="2" customWidth="1"/>
    <col min="10" max="10" width="34.140625" style="2" customWidth="1"/>
    <col min="11" max="11" width="29.42578125" style="2" customWidth="1"/>
    <col min="12" max="12" width="88.7109375" style="2" bestFit="1" customWidth="1"/>
    <col min="13" max="16384" width="11.42578125" style="2"/>
  </cols>
  <sheetData>
    <row r="2" spans="1:12" ht="15.75" thickBot="1" x14ac:dyDescent="0.3">
      <c r="A2" s="172" t="s">
        <v>772</v>
      </c>
      <c r="B2" s="172"/>
      <c r="D2" s="172" t="s">
        <v>773</v>
      </c>
      <c r="E2" s="172"/>
      <c r="G2" s="172" t="s">
        <v>774</v>
      </c>
      <c r="H2" s="172"/>
      <c r="J2" s="52" t="s">
        <v>425</v>
      </c>
    </row>
    <row r="3" spans="1:12" ht="15.75" thickTop="1" x14ac:dyDescent="0.25">
      <c r="A3" s="37" t="s">
        <v>771</v>
      </c>
      <c r="B3" s="35" t="s">
        <v>396</v>
      </c>
      <c r="D3" s="37" t="s">
        <v>771</v>
      </c>
      <c r="E3" s="35" t="s">
        <v>399</v>
      </c>
      <c r="G3" s="37" t="s">
        <v>771</v>
      </c>
      <c r="H3" s="35" t="s">
        <v>400</v>
      </c>
      <c r="J3" t="s">
        <v>425</v>
      </c>
      <c r="L3" s="32" t="s">
        <v>124</v>
      </c>
    </row>
    <row r="4" spans="1:12" x14ac:dyDescent="0.25">
      <c r="A4" s="37">
        <v>1</v>
      </c>
      <c r="B4" t="s">
        <v>489</v>
      </c>
      <c r="D4" s="37">
        <v>0</v>
      </c>
      <c r="E4" t="s">
        <v>490</v>
      </c>
      <c r="G4" s="37">
        <v>39</v>
      </c>
      <c r="H4" t="s">
        <v>535</v>
      </c>
      <c r="J4" t="s">
        <v>430</v>
      </c>
      <c r="L4" s="33" t="s">
        <v>125</v>
      </c>
    </row>
    <row r="5" spans="1:12" x14ac:dyDescent="0.25">
      <c r="A5" s="37">
        <v>2</v>
      </c>
      <c r="B5" t="s">
        <v>397</v>
      </c>
      <c r="D5" s="37">
        <v>1</v>
      </c>
      <c r="E5" t="s">
        <v>491</v>
      </c>
      <c r="G5" s="37">
        <v>26</v>
      </c>
      <c r="H5" t="s">
        <v>522</v>
      </c>
      <c r="J5" t="s">
        <v>431</v>
      </c>
      <c r="L5" s="33" t="s">
        <v>126</v>
      </c>
    </row>
    <row r="6" spans="1:12" ht="15.75" thickBot="1" x14ac:dyDescent="0.3">
      <c r="A6" s="37">
        <v>3</v>
      </c>
      <c r="B6" t="s">
        <v>488</v>
      </c>
      <c r="D6" s="37">
        <v>2</v>
      </c>
      <c r="E6" t="s">
        <v>934</v>
      </c>
      <c r="G6" s="37">
        <v>2</v>
      </c>
      <c r="H6" t="s">
        <v>848</v>
      </c>
      <c r="L6" s="34" t="s">
        <v>86</v>
      </c>
    </row>
    <row r="7" spans="1:12" ht="15.75" thickTop="1" x14ac:dyDescent="0.25">
      <c r="D7" s="37">
        <v>34</v>
      </c>
      <c r="E7" t="s">
        <v>933</v>
      </c>
      <c r="G7" s="37">
        <v>32</v>
      </c>
      <c r="H7" t="s">
        <v>528</v>
      </c>
      <c r="J7" s="52" t="s">
        <v>826</v>
      </c>
    </row>
    <row r="8" spans="1:12" x14ac:dyDescent="0.25">
      <c r="D8" s="37">
        <v>3</v>
      </c>
      <c r="E8" t="s">
        <v>492</v>
      </c>
      <c r="G8" s="37">
        <v>33</v>
      </c>
      <c r="H8" t="s">
        <v>529</v>
      </c>
      <c r="I8" s="51"/>
      <c r="J8" s="62" t="s">
        <v>1042</v>
      </c>
    </row>
    <row r="9" spans="1:12" x14ac:dyDescent="0.25">
      <c r="D9" s="37">
        <v>4</v>
      </c>
      <c r="E9" t="s">
        <v>493</v>
      </c>
      <c r="G9" s="37">
        <v>120</v>
      </c>
      <c r="H9" t="s">
        <v>616</v>
      </c>
      <c r="I9" s="51"/>
      <c r="J9" s="125">
        <v>46148</v>
      </c>
    </row>
    <row r="10" spans="1:12" x14ac:dyDescent="0.25">
      <c r="D10" s="37">
        <v>36</v>
      </c>
      <c r="E10" t="s">
        <v>935</v>
      </c>
      <c r="G10" s="37">
        <v>28</v>
      </c>
      <c r="H10" t="s">
        <v>524</v>
      </c>
      <c r="I10" s="51"/>
    </row>
    <row r="11" spans="1:12" x14ac:dyDescent="0.25">
      <c r="D11" s="37">
        <v>6</v>
      </c>
      <c r="E11" t="s">
        <v>494</v>
      </c>
      <c r="G11" s="37">
        <v>3</v>
      </c>
      <c r="H11" t="s">
        <v>849</v>
      </c>
      <c r="I11" s="51"/>
    </row>
    <row r="12" spans="1:12" x14ac:dyDescent="0.25">
      <c r="D12" s="37">
        <v>5</v>
      </c>
      <c r="E12" t="s">
        <v>495</v>
      </c>
      <c r="G12" s="37">
        <v>31</v>
      </c>
      <c r="H12" t="s">
        <v>527</v>
      </c>
    </row>
    <row r="13" spans="1:12" x14ac:dyDescent="0.25">
      <c r="D13" s="37">
        <v>37</v>
      </c>
      <c r="E13" t="s">
        <v>936</v>
      </c>
      <c r="G13" s="37">
        <v>83</v>
      </c>
      <c r="H13" t="s">
        <v>579</v>
      </c>
    </row>
    <row r="14" spans="1:12" x14ac:dyDescent="0.25">
      <c r="D14" s="37">
        <v>51</v>
      </c>
      <c r="E14" t="s">
        <v>986</v>
      </c>
      <c r="G14" s="37">
        <v>37</v>
      </c>
      <c r="H14" t="s">
        <v>533</v>
      </c>
    </row>
    <row r="15" spans="1:12" x14ac:dyDescent="0.25">
      <c r="D15" s="37">
        <v>8</v>
      </c>
      <c r="E15" t="s">
        <v>496</v>
      </c>
      <c r="G15" s="37">
        <v>38</v>
      </c>
      <c r="H15" t="s">
        <v>534</v>
      </c>
    </row>
    <row r="16" spans="1:12" x14ac:dyDescent="0.25">
      <c r="D16" s="37">
        <v>7</v>
      </c>
      <c r="E16" t="s">
        <v>497</v>
      </c>
      <c r="G16" s="37">
        <v>4</v>
      </c>
      <c r="H16" t="s">
        <v>850</v>
      </c>
    </row>
    <row r="17" spans="1:8" x14ac:dyDescent="0.25">
      <c r="A17" s="172" t="s">
        <v>782</v>
      </c>
      <c r="B17" s="172" t="s">
        <v>782</v>
      </c>
      <c r="D17" s="37">
        <v>9</v>
      </c>
      <c r="E17" t="s">
        <v>498</v>
      </c>
      <c r="G17" s="37">
        <v>230</v>
      </c>
      <c r="H17" t="s">
        <v>726</v>
      </c>
    </row>
    <row r="18" spans="1:8" x14ac:dyDescent="0.25">
      <c r="A18" s="37" t="s">
        <v>771</v>
      </c>
      <c r="B18" t="s">
        <v>781</v>
      </c>
      <c r="D18" s="37">
        <v>38</v>
      </c>
      <c r="E18" t="s">
        <v>978</v>
      </c>
      <c r="G18" s="37">
        <v>34</v>
      </c>
      <c r="H18" t="s">
        <v>530</v>
      </c>
    </row>
    <row r="19" spans="1:8" x14ac:dyDescent="0.25">
      <c r="A19" s="37">
        <v>0</v>
      </c>
      <c r="B19" t="s">
        <v>778</v>
      </c>
      <c r="D19" s="37">
        <v>10</v>
      </c>
      <c r="E19" t="s">
        <v>499</v>
      </c>
      <c r="G19" s="37">
        <v>253</v>
      </c>
      <c r="H19" t="s">
        <v>749</v>
      </c>
    </row>
    <row r="20" spans="1:8" x14ac:dyDescent="0.25">
      <c r="A20" s="37">
        <v>1</v>
      </c>
      <c r="B20" t="s">
        <v>779</v>
      </c>
      <c r="D20" s="37">
        <v>46</v>
      </c>
      <c r="E20" t="s">
        <v>981</v>
      </c>
      <c r="G20" s="37">
        <v>35</v>
      </c>
      <c r="H20" t="s">
        <v>531</v>
      </c>
    </row>
    <row r="21" spans="1:8" x14ac:dyDescent="0.25">
      <c r="A21" s="37">
        <v>2</v>
      </c>
      <c r="B21" t="s">
        <v>780</v>
      </c>
      <c r="D21" s="37">
        <v>72</v>
      </c>
      <c r="E21" t="s">
        <v>1023</v>
      </c>
      <c r="G21" s="37">
        <v>40</v>
      </c>
      <c r="H21" t="s">
        <v>536</v>
      </c>
    </row>
    <row r="22" spans="1:8" x14ac:dyDescent="0.25">
      <c r="D22" s="37">
        <v>11</v>
      </c>
      <c r="E22" t="s">
        <v>398</v>
      </c>
      <c r="G22" s="37">
        <v>41</v>
      </c>
      <c r="H22" t="s">
        <v>537</v>
      </c>
    </row>
    <row r="23" spans="1:8" x14ac:dyDescent="0.25">
      <c r="D23" s="37">
        <v>12</v>
      </c>
      <c r="E23" t="s">
        <v>500</v>
      </c>
      <c r="G23" s="37">
        <v>42</v>
      </c>
      <c r="H23" t="s">
        <v>538</v>
      </c>
    </row>
    <row r="24" spans="1:8" x14ac:dyDescent="0.25">
      <c r="D24" s="37">
        <v>35</v>
      </c>
      <c r="E24" t="s">
        <v>937</v>
      </c>
      <c r="G24" s="37">
        <v>60</v>
      </c>
      <c r="H24" t="s">
        <v>556</v>
      </c>
    </row>
    <row r="25" spans="1:8" x14ac:dyDescent="0.25">
      <c r="D25" s="37">
        <v>52</v>
      </c>
      <c r="E25" t="s">
        <v>987</v>
      </c>
      <c r="G25" s="37">
        <v>47</v>
      </c>
      <c r="H25" t="s">
        <v>543</v>
      </c>
    </row>
    <row r="26" spans="1:8" x14ac:dyDescent="0.25">
      <c r="D26" s="37">
        <v>14</v>
      </c>
      <c r="E26" t="s">
        <v>501</v>
      </c>
      <c r="G26" s="37">
        <v>49</v>
      </c>
      <c r="H26" t="s">
        <v>545</v>
      </c>
    </row>
    <row r="27" spans="1:8" x14ac:dyDescent="0.25">
      <c r="D27" s="37">
        <v>13</v>
      </c>
      <c r="E27" t="s">
        <v>502</v>
      </c>
      <c r="G27" s="37">
        <v>202</v>
      </c>
      <c r="H27" t="s">
        <v>698</v>
      </c>
    </row>
    <row r="28" spans="1:8" x14ac:dyDescent="0.25">
      <c r="D28" s="37">
        <v>39</v>
      </c>
      <c r="E28" t="s">
        <v>938</v>
      </c>
      <c r="G28" s="37">
        <v>59</v>
      </c>
      <c r="H28" t="s">
        <v>555</v>
      </c>
    </row>
    <row r="29" spans="1:8" x14ac:dyDescent="0.25">
      <c r="D29" s="37">
        <v>53</v>
      </c>
      <c r="E29" t="s">
        <v>988</v>
      </c>
      <c r="G29" s="37">
        <v>45</v>
      </c>
      <c r="H29" t="s">
        <v>541</v>
      </c>
    </row>
    <row r="30" spans="1:8" x14ac:dyDescent="0.25">
      <c r="D30" s="37">
        <v>16</v>
      </c>
      <c r="E30" t="s">
        <v>503</v>
      </c>
      <c r="G30" s="37">
        <v>58</v>
      </c>
      <c r="H30" t="s">
        <v>554</v>
      </c>
    </row>
    <row r="31" spans="1:8" x14ac:dyDescent="0.25">
      <c r="D31" s="37">
        <v>15</v>
      </c>
      <c r="E31" t="s">
        <v>504</v>
      </c>
      <c r="G31" s="37">
        <v>44</v>
      </c>
      <c r="H31" t="s">
        <v>540</v>
      </c>
    </row>
    <row r="32" spans="1:8" x14ac:dyDescent="0.25">
      <c r="D32" s="37">
        <v>40</v>
      </c>
      <c r="E32" t="s">
        <v>939</v>
      </c>
      <c r="G32" s="37">
        <v>43</v>
      </c>
      <c r="H32" t="s">
        <v>539</v>
      </c>
    </row>
    <row r="33" spans="4:8" x14ac:dyDescent="0.25">
      <c r="D33" s="37">
        <v>54</v>
      </c>
      <c r="E33" t="s">
        <v>989</v>
      </c>
      <c r="G33" s="37">
        <v>54</v>
      </c>
      <c r="H33" t="s">
        <v>550</v>
      </c>
    </row>
    <row r="34" spans="4:8" x14ac:dyDescent="0.25">
      <c r="D34" s="37">
        <v>17</v>
      </c>
      <c r="E34" t="s">
        <v>505</v>
      </c>
      <c r="G34" s="37">
        <v>219</v>
      </c>
      <c r="H34" t="s">
        <v>715</v>
      </c>
    </row>
    <row r="35" spans="4:8" x14ac:dyDescent="0.25">
      <c r="D35" s="37">
        <v>18</v>
      </c>
      <c r="E35" t="s">
        <v>506</v>
      </c>
      <c r="G35" s="37">
        <v>52</v>
      </c>
      <c r="H35" t="s">
        <v>548</v>
      </c>
    </row>
    <row r="36" spans="4:8" x14ac:dyDescent="0.25">
      <c r="D36" s="37">
        <v>45</v>
      </c>
      <c r="E36" t="s">
        <v>980</v>
      </c>
      <c r="G36" s="37">
        <v>48</v>
      </c>
      <c r="H36" t="s">
        <v>544</v>
      </c>
    </row>
    <row r="37" spans="4:8" x14ac:dyDescent="0.25">
      <c r="D37" s="37">
        <v>74</v>
      </c>
      <c r="E37" t="s">
        <v>1024</v>
      </c>
      <c r="G37" s="37">
        <v>50</v>
      </c>
      <c r="H37" t="s">
        <v>546</v>
      </c>
    </row>
    <row r="38" spans="4:8" x14ac:dyDescent="0.25">
      <c r="D38" s="37">
        <v>19</v>
      </c>
      <c r="E38" t="s">
        <v>507</v>
      </c>
      <c r="G38" s="37">
        <v>53</v>
      </c>
      <c r="H38" t="s">
        <v>549</v>
      </c>
    </row>
    <row r="39" spans="4:8" x14ac:dyDescent="0.25">
      <c r="D39" s="37">
        <v>20</v>
      </c>
      <c r="E39" t="s">
        <v>508</v>
      </c>
      <c r="G39" s="37">
        <v>56</v>
      </c>
      <c r="H39" t="s">
        <v>552</v>
      </c>
    </row>
    <row r="40" spans="4:8" x14ac:dyDescent="0.25">
      <c r="D40" s="37">
        <v>47</v>
      </c>
      <c r="E40" t="s">
        <v>982</v>
      </c>
      <c r="G40" s="37">
        <v>46</v>
      </c>
      <c r="H40" t="s">
        <v>542</v>
      </c>
    </row>
    <row r="41" spans="4:8" x14ac:dyDescent="0.25">
      <c r="D41" s="37">
        <v>22</v>
      </c>
      <c r="E41" t="s">
        <v>509</v>
      </c>
      <c r="G41" s="37">
        <v>57</v>
      </c>
      <c r="H41" t="s">
        <v>553</v>
      </c>
    </row>
    <row r="42" spans="4:8" x14ac:dyDescent="0.25">
      <c r="D42" s="37">
        <v>21</v>
      </c>
      <c r="E42" t="s">
        <v>510</v>
      </c>
      <c r="G42" s="37">
        <v>51</v>
      </c>
      <c r="H42" t="s">
        <v>547</v>
      </c>
    </row>
    <row r="43" spans="4:8" x14ac:dyDescent="0.25">
      <c r="D43" s="37">
        <v>48</v>
      </c>
      <c r="E43" t="s">
        <v>983</v>
      </c>
      <c r="G43" s="37">
        <v>116</v>
      </c>
      <c r="H43" t="s">
        <v>612</v>
      </c>
    </row>
    <row r="44" spans="4:8" x14ac:dyDescent="0.25">
      <c r="D44" s="37">
        <v>23</v>
      </c>
      <c r="E44" t="s">
        <v>511</v>
      </c>
      <c r="G44" s="37">
        <v>55</v>
      </c>
      <c r="H44" t="s">
        <v>551</v>
      </c>
    </row>
    <row r="45" spans="4:8" x14ac:dyDescent="0.25">
      <c r="D45" s="37">
        <v>62</v>
      </c>
      <c r="E45" t="s">
        <v>1025</v>
      </c>
      <c r="G45" s="37">
        <v>212</v>
      </c>
      <c r="H45" t="s">
        <v>708</v>
      </c>
    </row>
    <row r="46" spans="4:8" x14ac:dyDescent="0.25">
      <c r="D46" s="37">
        <v>24</v>
      </c>
      <c r="E46" t="s">
        <v>512</v>
      </c>
      <c r="G46" s="37">
        <v>63</v>
      </c>
      <c r="H46" t="s">
        <v>559</v>
      </c>
    </row>
    <row r="47" spans="4:8" x14ac:dyDescent="0.25">
      <c r="D47" s="37">
        <v>49</v>
      </c>
      <c r="E47" t="s">
        <v>984</v>
      </c>
      <c r="G47" s="37">
        <v>14</v>
      </c>
      <c r="H47" t="s">
        <v>860</v>
      </c>
    </row>
    <row r="48" spans="4:8" x14ac:dyDescent="0.25">
      <c r="D48" s="37">
        <v>55</v>
      </c>
      <c r="E48" t="s">
        <v>984</v>
      </c>
      <c r="G48" s="37">
        <v>122</v>
      </c>
      <c r="H48" t="s">
        <v>618</v>
      </c>
    </row>
    <row r="49" spans="4:8" x14ac:dyDescent="0.25">
      <c r="D49" s="37">
        <v>71</v>
      </c>
      <c r="E49" t="s">
        <v>1026</v>
      </c>
      <c r="G49" s="37">
        <v>10</v>
      </c>
      <c r="H49" t="s">
        <v>856</v>
      </c>
    </row>
    <row r="50" spans="4:8" x14ac:dyDescent="0.25">
      <c r="D50" s="37">
        <v>70</v>
      </c>
      <c r="E50" t="s">
        <v>1031</v>
      </c>
      <c r="G50" s="37">
        <v>15</v>
      </c>
      <c r="H50" t="s">
        <v>861</v>
      </c>
    </row>
    <row r="51" spans="4:8" x14ac:dyDescent="0.25">
      <c r="D51" s="37">
        <v>78</v>
      </c>
      <c r="E51" t="s">
        <v>1040</v>
      </c>
      <c r="G51" s="37">
        <v>17</v>
      </c>
      <c r="H51" t="s">
        <v>863</v>
      </c>
    </row>
    <row r="52" spans="4:8" x14ac:dyDescent="0.25">
      <c r="D52" s="37">
        <v>25</v>
      </c>
      <c r="E52" t="s">
        <v>513</v>
      </c>
      <c r="G52" s="37">
        <v>20</v>
      </c>
      <c r="H52" t="s">
        <v>866</v>
      </c>
    </row>
    <row r="53" spans="4:8" x14ac:dyDescent="0.25">
      <c r="D53" s="37">
        <v>26</v>
      </c>
      <c r="E53" t="s">
        <v>514</v>
      </c>
      <c r="G53" s="37">
        <v>244</v>
      </c>
      <c r="H53" t="s">
        <v>740</v>
      </c>
    </row>
    <row r="54" spans="4:8" x14ac:dyDescent="0.25">
      <c r="D54" s="37">
        <v>41</v>
      </c>
      <c r="E54" t="s">
        <v>940</v>
      </c>
      <c r="G54" s="37">
        <v>65</v>
      </c>
      <c r="H54" t="s">
        <v>561</v>
      </c>
    </row>
    <row r="55" spans="4:8" x14ac:dyDescent="0.25">
      <c r="D55" s="37">
        <v>44</v>
      </c>
      <c r="E55" t="s">
        <v>940</v>
      </c>
      <c r="G55" s="37">
        <v>66</v>
      </c>
      <c r="H55" t="s">
        <v>562</v>
      </c>
    </row>
    <row r="56" spans="4:8" x14ac:dyDescent="0.25">
      <c r="D56" s="37">
        <v>68</v>
      </c>
      <c r="E56" t="s">
        <v>1027</v>
      </c>
      <c r="G56" s="37">
        <v>75</v>
      </c>
      <c r="H56" t="s">
        <v>571</v>
      </c>
    </row>
    <row r="57" spans="4:8" x14ac:dyDescent="0.25">
      <c r="D57" s="37">
        <v>75</v>
      </c>
      <c r="E57" t="s">
        <v>1028</v>
      </c>
      <c r="G57" s="37">
        <v>62</v>
      </c>
      <c r="H57" t="s">
        <v>558</v>
      </c>
    </row>
    <row r="58" spans="4:8" x14ac:dyDescent="0.25">
      <c r="D58" s="37">
        <v>77</v>
      </c>
      <c r="E58" t="s">
        <v>1041</v>
      </c>
      <c r="G58" s="37">
        <v>71</v>
      </c>
      <c r="H58" t="s">
        <v>567</v>
      </c>
    </row>
    <row r="59" spans="4:8" x14ac:dyDescent="0.25">
      <c r="D59" s="37">
        <v>27</v>
      </c>
      <c r="E59" t="s">
        <v>515</v>
      </c>
      <c r="G59" s="37">
        <v>70</v>
      </c>
      <c r="H59" t="s">
        <v>566</v>
      </c>
    </row>
    <row r="60" spans="4:8" x14ac:dyDescent="0.25">
      <c r="D60" s="37">
        <v>43</v>
      </c>
      <c r="E60" t="s">
        <v>979</v>
      </c>
      <c r="G60" s="37">
        <v>123</v>
      </c>
      <c r="H60" t="s">
        <v>619</v>
      </c>
    </row>
    <row r="61" spans="4:8" x14ac:dyDescent="0.25">
      <c r="D61" s="37">
        <v>28</v>
      </c>
      <c r="E61" t="s">
        <v>516</v>
      </c>
      <c r="G61" s="37">
        <v>68</v>
      </c>
      <c r="H61" t="s">
        <v>564</v>
      </c>
    </row>
    <row r="62" spans="4:8" x14ac:dyDescent="0.25">
      <c r="D62" s="37">
        <v>73</v>
      </c>
      <c r="E62" t="s">
        <v>1029</v>
      </c>
      <c r="G62" s="37">
        <v>69</v>
      </c>
      <c r="H62" t="s">
        <v>565</v>
      </c>
    </row>
    <row r="63" spans="4:8" x14ac:dyDescent="0.25">
      <c r="D63" s="37">
        <v>29</v>
      </c>
      <c r="E63" t="s">
        <v>517</v>
      </c>
      <c r="G63" s="37">
        <v>64</v>
      </c>
      <c r="H63" t="s">
        <v>560</v>
      </c>
    </row>
    <row r="64" spans="4:8" x14ac:dyDescent="0.25">
      <c r="D64" s="37">
        <v>30</v>
      </c>
      <c r="E64" t="s">
        <v>518</v>
      </c>
      <c r="G64" s="37">
        <v>74</v>
      </c>
      <c r="H64" t="s">
        <v>570</v>
      </c>
    </row>
    <row r="65" spans="4:8" x14ac:dyDescent="0.25">
      <c r="D65" s="37">
        <v>57</v>
      </c>
      <c r="E65" t="s">
        <v>991</v>
      </c>
      <c r="G65" s="37">
        <v>77</v>
      </c>
      <c r="H65" t="s">
        <v>573</v>
      </c>
    </row>
    <row r="66" spans="4:8" x14ac:dyDescent="0.25">
      <c r="D66" s="37">
        <v>31</v>
      </c>
      <c r="E66" t="s">
        <v>519</v>
      </c>
      <c r="G66" s="37">
        <v>78</v>
      </c>
      <c r="H66" t="s">
        <v>574</v>
      </c>
    </row>
    <row r="67" spans="4:8" x14ac:dyDescent="0.25">
      <c r="D67" s="37">
        <v>32</v>
      </c>
      <c r="E67" t="s">
        <v>520</v>
      </c>
      <c r="G67" s="37">
        <v>117</v>
      </c>
      <c r="H67" t="s">
        <v>613</v>
      </c>
    </row>
    <row r="68" spans="4:8" x14ac:dyDescent="0.25">
      <c r="D68" s="37">
        <v>50</v>
      </c>
      <c r="E68" t="s">
        <v>985</v>
      </c>
      <c r="G68" s="37">
        <v>121</v>
      </c>
      <c r="H68" t="s">
        <v>617</v>
      </c>
    </row>
    <row r="69" spans="4:8" x14ac:dyDescent="0.25">
      <c r="D69" s="37">
        <v>59</v>
      </c>
      <c r="E69" t="s">
        <v>1032</v>
      </c>
      <c r="G69" s="37">
        <v>67</v>
      </c>
      <c r="H69" t="s">
        <v>563</v>
      </c>
    </row>
    <row r="70" spans="4:8" x14ac:dyDescent="0.25">
      <c r="D70" s="37">
        <v>65</v>
      </c>
      <c r="E70" t="s">
        <v>1033</v>
      </c>
      <c r="G70" s="37">
        <v>252</v>
      </c>
      <c r="H70" t="s">
        <v>748</v>
      </c>
    </row>
    <row r="71" spans="4:8" x14ac:dyDescent="0.25">
      <c r="D71" s="37">
        <v>60</v>
      </c>
      <c r="E71" t="s">
        <v>1034</v>
      </c>
      <c r="G71" s="37">
        <v>30</v>
      </c>
      <c r="H71" t="s">
        <v>526</v>
      </c>
    </row>
    <row r="72" spans="4:8" x14ac:dyDescent="0.25">
      <c r="D72" s="37">
        <v>33</v>
      </c>
      <c r="E72" t="s">
        <v>932</v>
      </c>
      <c r="G72" s="37">
        <v>80</v>
      </c>
      <c r="H72" t="s">
        <v>576</v>
      </c>
    </row>
    <row r="73" spans="4:8" x14ac:dyDescent="0.25">
      <c r="D73" s="37">
        <v>56</v>
      </c>
      <c r="E73" t="s">
        <v>990</v>
      </c>
      <c r="G73" s="37">
        <v>81</v>
      </c>
      <c r="H73" t="s">
        <v>577</v>
      </c>
    </row>
    <row r="74" spans="4:8" x14ac:dyDescent="0.25">
      <c r="D74" s="37">
        <v>58</v>
      </c>
      <c r="E74" t="s">
        <v>992</v>
      </c>
      <c r="G74" s="37">
        <v>79</v>
      </c>
      <c r="H74" t="s">
        <v>575</v>
      </c>
    </row>
    <row r="75" spans="4:8" x14ac:dyDescent="0.25">
      <c r="D75" s="37">
        <v>64</v>
      </c>
      <c r="E75" t="s">
        <v>1030</v>
      </c>
      <c r="G75" s="37">
        <v>213</v>
      </c>
      <c r="H75" t="s">
        <v>709</v>
      </c>
    </row>
    <row r="76" spans="4:8" x14ac:dyDescent="0.25">
      <c r="D76" s="37">
        <v>61</v>
      </c>
      <c r="E76" t="s">
        <v>993</v>
      </c>
      <c r="G76" s="37">
        <v>29</v>
      </c>
      <c r="H76" t="s">
        <v>525</v>
      </c>
    </row>
    <row r="77" spans="4:8" x14ac:dyDescent="0.25">
      <c r="D77" s="37">
        <v>42</v>
      </c>
      <c r="E77" t="s">
        <v>941</v>
      </c>
      <c r="G77" s="37">
        <v>11</v>
      </c>
      <c r="H77" t="s">
        <v>857</v>
      </c>
    </row>
    <row r="78" spans="4:8" x14ac:dyDescent="0.25">
      <c r="D78" s="37">
        <v>76</v>
      </c>
      <c r="E78" t="s">
        <v>1035</v>
      </c>
      <c r="G78" s="37">
        <v>21</v>
      </c>
      <c r="H78" t="s">
        <v>867</v>
      </c>
    </row>
    <row r="79" spans="4:8" x14ac:dyDescent="0.25">
      <c r="G79" s="37">
        <v>84</v>
      </c>
      <c r="H79" t="s">
        <v>580</v>
      </c>
    </row>
    <row r="80" spans="4:8" x14ac:dyDescent="0.25">
      <c r="G80" s="37">
        <v>82</v>
      </c>
      <c r="H80" t="s">
        <v>578</v>
      </c>
    </row>
    <row r="81" spans="7:8" x14ac:dyDescent="0.25">
      <c r="G81" s="37">
        <v>85</v>
      </c>
      <c r="H81" t="s">
        <v>581</v>
      </c>
    </row>
    <row r="82" spans="7:8" x14ac:dyDescent="0.25">
      <c r="G82" s="37">
        <v>218</v>
      </c>
      <c r="H82" t="s">
        <v>714</v>
      </c>
    </row>
    <row r="83" spans="7:8" x14ac:dyDescent="0.25">
      <c r="G83" s="37">
        <v>86</v>
      </c>
      <c r="H83" t="s">
        <v>582</v>
      </c>
    </row>
    <row r="84" spans="7:8" x14ac:dyDescent="0.25">
      <c r="G84" s="37">
        <v>87</v>
      </c>
      <c r="H84" t="s">
        <v>583</v>
      </c>
    </row>
    <row r="85" spans="7:8" x14ac:dyDescent="0.25">
      <c r="G85" s="37">
        <v>91</v>
      </c>
      <c r="H85" t="s">
        <v>587</v>
      </c>
    </row>
    <row r="86" spans="7:8" x14ac:dyDescent="0.25">
      <c r="G86" s="37">
        <v>5</v>
      </c>
      <c r="H86" t="s">
        <v>851</v>
      </c>
    </row>
    <row r="87" spans="7:8" x14ac:dyDescent="0.25">
      <c r="G87" s="37">
        <v>7</v>
      </c>
      <c r="H87" t="s">
        <v>853</v>
      </c>
    </row>
    <row r="88" spans="7:8" x14ac:dyDescent="0.25">
      <c r="G88" s="37">
        <v>23</v>
      </c>
      <c r="H88" t="s">
        <v>869</v>
      </c>
    </row>
    <row r="89" spans="7:8" x14ac:dyDescent="0.25">
      <c r="G89" s="37">
        <v>93</v>
      </c>
      <c r="H89" t="s">
        <v>589</v>
      </c>
    </row>
    <row r="90" spans="7:8" x14ac:dyDescent="0.25">
      <c r="G90" s="37">
        <v>92</v>
      </c>
      <c r="H90" t="s">
        <v>588</v>
      </c>
    </row>
    <row r="91" spans="7:8" x14ac:dyDescent="0.25">
      <c r="G91" s="37">
        <v>126</v>
      </c>
      <c r="H91" t="s">
        <v>622</v>
      </c>
    </row>
    <row r="92" spans="7:8" x14ac:dyDescent="0.25">
      <c r="G92" s="37">
        <v>94</v>
      </c>
      <c r="H92" t="s">
        <v>590</v>
      </c>
    </row>
    <row r="93" spans="7:8" x14ac:dyDescent="0.25">
      <c r="G93" s="37">
        <v>124</v>
      </c>
      <c r="H93" t="s">
        <v>620</v>
      </c>
    </row>
    <row r="94" spans="7:8" x14ac:dyDescent="0.25">
      <c r="G94" s="37">
        <v>175</v>
      </c>
      <c r="H94" t="s">
        <v>671</v>
      </c>
    </row>
    <row r="95" spans="7:8" x14ac:dyDescent="0.25">
      <c r="G95" s="37">
        <v>95</v>
      </c>
      <c r="H95" t="s">
        <v>591</v>
      </c>
    </row>
    <row r="96" spans="7:8" x14ac:dyDescent="0.25">
      <c r="G96" s="37">
        <v>215</v>
      </c>
      <c r="H96" t="s">
        <v>711</v>
      </c>
    </row>
    <row r="97" spans="7:8" x14ac:dyDescent="0.25">
      <c r="G97" s="37">
        <v>97</v>
      </c>
      <c r="H97" t="s">
        <v>593</v>
      </c>
    </row>
    <row r="98" spans="7:8" x14ac:dyDescent="0.25">
      <c r="G98" s="37">
        <v>107</v>
      </c>
      <c r="H98" t="s">
        <v>603</v>
      </c>
    </row>
    <row r="99" spans="7:8" x14ac:dyDescent="0.25">
      <c r="G99" s="37">
        <v>99</v>
      </c>
      <c r="H99" t="s">
        <v>595</v>
      </c>
    </row>
    <row r="100" spans="7:8" x14ac:dyDescent="0.25">
      <c r="G100" s="37">
        <v>100</v>
      </c>
      <c r="H100" t="s">
        <v>596</v>
      </c>
    </row>
    <row r="101" spans="7:8" x14ac:dyDescent="0.25">
      <c r="G101" s="37">
        <v>108</v>
      </c>
      <c r="H101" t="s">
        <v>604</v>
      </c>
    </row>
    <row r="102" spans="7:8" x14ac:dyDescent="0.25">
      <c r="G102" s="37">
        <v>104</v>
      </c>
      <c r="H102" t="s">
        <v>600</v>
      </c>
    </row>
    <row r="103" spans="7:8" x14ac:dyDescent="0.25">
      <c r="G103" s="37">
        <v>96</v>
      </c>
      <c r="H103" t="s">
        <v>592</v>
      </c>
    </row>
    <row r="104" spans="7:8" x14ac:dyDescent="0.25">
      <c r="G104" s="37">
        <v>110</v>
      </c>
      <c r="H104" t="s">
        <v>606</v>
      </c>
    </row>
    <row r="105" spans="7:8" x14ac:dyDescent="0.25">
      <c r="G105" s="37">
        <v>109</v>
      </c>
      <c r="H105" t="s">
        <v>605</v>
      </c>
    </row>
    <row r="106" spans="7:8" x14ac:dyDescent="0.25">
      <c r="G106" s="37">
        <v>101</v>
      </c>
      <c r="H106" t="s">
        <v>597</v>
      </c>
    </row>
    <row r="107" spans="7:8" x14ac:dyDescent="0.25">
      <c r="G107" s="37">
        <v>102</v>
      </c>
      <c r="H107" t="s">
        <v>598</v>
      </c>
    </row>
    <row r="108" spans="7:8" x14ac:dyDescent="0.25">
      <c r="G108" s="37">
        <v>103</v>
      </c>
      <c r="H108" t="s">
        <v>599</v>
      </c>
    </row>
    <row r="109" spans="7:8" x14ac:dyDescent="0.25">
      <c r="G109" s="37">
        <v>106</v>
      </c>
      <c r="H109" t="s">
        <v>602</v>
      </c>
    </row>
    <row r="110" spans="7:8" x14ac:dyDescent="0.25">
      <c r="G110" s="37">
        <v>112</v>
      </c>
      <c r="H110" t="s">
        <v>608</v>
      </c>
    </row>
    <row r="111" spans="7:8" x14ac:dyDescent="0.25">
      <c r="G111" s="37">
        <v>105</v>
      </c>
      <c r="H111" t="s">
        <v>601</v>
      </c>
    </row>
    <row r="112" spans="7:8" x14ac:dyDescent="0.25">
      <c r="G112" s="37">
        <v>111</v>
      </c>
      <c r="H112" t="s">
        <v>607</v>
      </c>
    </row>
    <row r="113" spans="7:8" x14ac:dyDescent="0.25">
      <c r="G113" s="37">
        <v>210</v>
      </c>
      <c r="H113" t="s">
        <v>706</v>
      </c>
    </row>
    <row r="114" spans="7:8" x14ac:dyDescent="0.25">
      <c r="G114" s="37">
        <v>125</v>
      </c>
      <c r="H114" t="s">
        <v>621</v>
      </c>
    </row>
    <row r="115" spans="7:8" x14ac:dyDescent="0.25">
      <c r="G115" s="37">
        <v>114</v>
      </c>
      <c r="H115" t="s">
        <v>610</v>
      </c>
    </row>
    <row r="116" spans="7:8" x14ac:dyDescent="0.25">
      <c r="G116" s="37">
        <v>76</v>
      </c>
      <c r="H116" t="s">
        <v>572</v>
      </c>
    </row>
    <row r="117" spans="7:8" x14ac:dyDescent="0.25">
      <c r="G117" s="37">
        <v>113</v>
      </c>
      <c r="H117" t="s">
        <v>609</v>
      </c>
    </row>
    <row r="118" spans="7:8" x14ac:dyDescent="0.25">
      <c r="G118" s="37">
        <v>115</v>
      </c>
      <c r="H118" t="s">
        <v>611</v>
      </c>
    </row>
    <row r="119" spans="7:8" x14ac:dyDescent="0.25">
      <c r="G119" s="37">
        <v>136</v>
      </c>
      <c r="H119" t="s">
        <v>632</v>
      </c>
    </row>
    <row r="120" spans="7:8" x14ac:dyDescent="0.25">
      <c r="G120" s="37">
        <v>118</v>
      </c>
      <c r="H120" t="s">
        <v>614</v>
      </c>
    </row>
    <row r="121" spans="7:8" x14ac:dyDescent="0.25">
      <c r="G121" s="37">
        <v>135</v>
      </c>
      <c r="H121" t="s">
        <v>631</v>
      </c>
    </row>
    <row r="122" spans="7:8" x14ac:dyDescent="0.25">
      <c r="G122" s="37">
        <v>25</v>
      </c>
      <c r="H122" t="s">
        <v>871</v>
      </c>
    </row>
    <row r="123" spans="7:8" x14ac:dyDescent="0.25">
      <c r="G123" s="37">
        <v>254</v>
      </c>
      <c r="H123" t="s">
        <v>750</v>
      </c>
    </row>
    <row r="124" spans="7:8" x14ac:dyDescent="0.25">
      <c r="G124" s="37">
        <v>139</v>
      </c>
      <c r="H124" t="s">
        <v>635</v>
      </c>
    </row>
    <row r="125" spans="7:8" x14ac:dyDescent="0.25">
      <c r="G125" s="37">
        <v>138</v>
      </c>
      <c r="H125" t="s">
        <v>634</v>
      </c>
    </row>
    <row r="126" spans="7:8" x14ac:dyDescent="0.25">
      <c r="G126" s="37">
        <v>137</v>
      </c>
      <c r="H126" t="s">
        <v>633</v>
      </c>
    </row>
    <row r="127" spans="7:8" x14ac:dyDescent="0.25">
      <c r="G127" s="37">
        <v>140</v>
      </c>
      <c r="H127" t="s">
        <v>636</v>
      </c>
    </row>
    <row r="128" spans="7:8" x14ac:dyDescent="0.25">
      <c r="G128" s="37">
        <v>141</v>
      </c>
      <c r="H128" t="s">
        <v>637</v>
      </c>
    </row>
    <row r="129" spans="7:8" x14ac:dyDescent="0.25">
      <c r="G129" s="37">
        <v>142</v>
      </c>
      <c r="H129" t="s">
        <v>638</v>
      </c>
    </row>
    <row r="130" spans="7:8" x14ac:dyDescent="0.25">
      <c r="G130" s="37">
        <v>143</v>
      </c>
      <c r="H130" t="s">
        <v>639</v>
      </c>
    </row>
    <row r="131" spans="7:8" x14ac:dyDescent="0.25">
      <c r="G131" s="37">
        <v>145</v>
      </c>
      <c r="H131" t="s">
        <v>641</v>
      </c>
    </row>
    <row r="132" spans="7:8" x14ac:dyDescent="0.25">
      <c r="G132" s="37">
        <v>146</v>
      </c>
      <c r="H132" t="s">
        <v>642</v>
      </c>
    </row>
    <row r="133" spans="7:8" x14ac:dyDescent="0.25">
      <c r="G133" s="37">
        <v>144</v>
      </c>
      <c r="H133" t="s">
        <v>640</v>
      </c>
    </row>
    <row r="134" spans="7:8" x14ac:dyDescent="0.25">
      <c r="G134" s="37">
        <v>147</v>
      </c>
      <c r="H134" t="s">
        <v>643</v>
      </c>
    </row>
    <row r="135" spans="7:8" x14ac:dyDescent="0.25">
      <c r="G135" s="37">
        <v>148</v>
      </c>
      <c r="H135" t="s">
        <v>644</v>
      </c>
    </row>
    <row r="136" spans="7:8" x14ac:dyDescent="0.25">
      <c r="G136" s="37">
        <v>149</v>
      </c>
      <c r="H136" t="s">
        <v>645</v>
      </c>
    </row>
    <row r="137" spans="7:8" x14ac:dyDescent="0.25">
      <c r="G137" s="37">
        <v>61</v>
      </c>
      <c r="H137" t="s">
        <v>557</v>
      </c>
    </row>
    <row r="138" spans="7:8" x14ac:dyDescent="0.25">
      <c r="G138" s="37">
        <v>150</v>
      </c>
      <c r="H138" t="s">
        <v>646</v>
      </c>
    </row>
    <row r="139" spans="7:8" x14ac:dyDescent="0.25">
      <c r="G139" s="37">
        <v>220</v>
      </c>
      <c r="H139" t="s">
        <v>716</v>
      </c>
    </row>
    <row r="140" spans="7:8" x14ac:dyDescent="0.25">
      <c r="G140" s="37">
        <v>73</v>
      </c>
      <c r="H140" t="s">
        <v>569</v>
      </c>
    </row>
    <row r="141" spans="7:8" x14ac:dyDescent="0.25">
      <c r="G141" s="37">
        <v>151</v>
      </c>
      <c r="H141" t="s">
        <v>647</v>
      </c>
    </row>
    <row r="142" spans="7:8" x14ac:dyDescent="0.25">
      <c r="G142" s="37">
        <v>153</v>
      </c>
      <c r="H142" t="s">
        <v>649</v>
      </c>
    </row>
    <row r="143" spans="7:8" x14ac:dyDescent="0.25">
      <c r="G143" s="37">
        <v>156</v>
      </c>
      <c r="H143" t="s">
        <v>652</v>
      </c>
    </row>
    <row r="144" spans="7:8" x14ac:dyDescent="0.25">
      <c r="G144" s="37">
        <v>157</v>
      </c>
      <c r="H144" t="s">
        <v>653</v>
      </c>
    </row>
    <row r="145" spans="7:8" x14ac:dyDescent="0.25">
      <c r="G145" s="37">
        <v>158</v>
      </c>
      <c r="H145" t="s">
        <v>654</v>
      </c>
    </row>
    <row r="146" spans="7:8" x14ac:dyDescent="0.25">
      <c r="G146" s="37">
        <v>227</v>
      </c>
      <c r="H146" t="s">
        <v>723</v>
      </c>
    </row>
    <row r="147" spans="7:8" x14ac:dyDescent="0.25">
      <c r="G147" s="37">
        <v>159</v>
      </c>
      <c r="H147" t="s">
        <v>655</v>
      </c>
    </row>
    <row r="148" spans="7:8" x14ac:dyDescent="0.25">
      <c r="G148" s="37">
        <v>242</v>
      </c>
      <c r="H148" t="s">
        <v>738</v>
      </c>
    </row>
    <row r="149" spans="7:8" x14ac:dyDescent="0.25">
      <c r="G149" s="37">
        <v>154</v>
      </c>
      <c r="H149" t="s">
        <v>650</v>
      </c>
    </row>
    <row r="150" spans="7:8" x14ac:dyDescent="0.25">
      <c r="G150" s="37">
        <v>160</v>
      </c>
      <c r="H150" t="s">
        <v>656</v>
      </c>
    </row>
    <row r="151" spans="7:8" x14ac:dyDescent="0.25">
      <c r="G151" s="37">
        <v>161</v>
      </c>
      <c r="H151" t="s">
        <v>657</v>
      </c>
    </row>
    <row r="152" spans="7:8" x14ac:dyDescent="0.25">
      <c r="G152" s="37">
        <v>155</v>
      </c>
      <c r="H152" t="s">
        <v>651</v>
      </c>
    </row>
    <row r="153" spans="7:8" x14ac:dyDescent="0.25">
      <c r="G153" s="37">
        <v>211</v>
      </c>
      <c r="H153" t="s">
        <v>707</v>
      </c>
    </row>
    <row r="154" spans="7:8" x14ac:dyDescent="0.25">
      <c r="G154" s="37">
        <v>222</v>
      </c>
      <c r="H154" t="s">
        <v>718</v>
      </c>
    </row>
    <row r="155" spans="7:8" x14ac:dyDescent="0.25">
      <c r="G155" s="37">
        <v>169</v>
      </c>
      <c r="H155" t="s">
        <v>665</v>
      </c>
    </row>
    <row r="156" spans="7:8" x14ac:dyDescent="0.25">
      <c r="G156" s="37">
        <v>177</v>
      </c>
      <c r="H156" t="s">
        <v>673</v>
      </c>
    </row>
    <row r="157" spans="7:8" x14ac:dyDescent="0.25">
      <c r="G157" s="37">
        <v>176</v>
      </c>
      <c r="H157" t="s">
        <v>672</v>
      </c>
    </row>
    <row r="158" spans="7:8" x14ac:dyDescent="0.25">
      <c r="G158" s="37">
        <v>163</v>
      </c>
      <c r="H158" t="s">
        <v>659</v>
      </c>
    </row>
    <row r="159" spans="7:8" x14ac:dyDescent="0.25">
      <c r="G159" s="37">
        <v>166</v>
      </c>
      <c r="H159" t="s">
        <v>662</v>
      </c>
    </row>
    <row r="160" spans="7:8" x14ac:dyDescent="0.25">
      <c r="G160" s="37">
        <v>174</v>
      </c>
      <c r="H160" t="s">
        <v>670</v>
      </c>
    </row>
    <row r="161" spans="7:8" x14ac:dyDescent="0.25">
      <c r="G161" s="37">
        <v>128</v>
      </c>
      <c r="H161" t="s">
        <v>624</v>
      </c>
    </row>
    <row r="162" spans="7:8" x14ac:dyDescent="0.25">
      <c r="G162" s="37">
        <v>24</v>
      </c>
      <c r="H162" t="s">
        <v>870</v>
      </c>
    </row>
    <row r="163" spans="7:8" x14ac:dyDescent="0.25">
      <c r="G163" s="37">
        <v>162</v>
      </c>
      <c r="H163" t="s">
        <v>658</v>
      </c>
    </row>
    <row r="164" spans="7:8" x14ac:dyDescent="0.25">
      <c r="G164" s="37">
        <v>167</v>
      </c>
      <c r="H164" t="s">
        <v>663</v>
      </c>
    </row>
    <row r="165" spans="7:8" x14ac:dyDescent="0.25">
      <c r="G165" s="37">
        <v>168</v>
      </c>
      <c r="H165" t="s">
        <v>664</v>
      </c>
    </row>
    <row r="166" spans="7:8" x14ac:dyDescent="0.25">
      <c r="G166" s="37">
        <v>182</v>
      </c>
      <c r="H166" t="s">
        <v>678</v>
      </c>
    </row>
    <row r="167" spans="7:8" x14ac:dyDescent="0.25">
      <c r="G167" s="37">
        <v>179</v>
      </c>
      <c r="H167" t="s">
        <v>675</v>
      </c>
    </row>
    <row r="168" spans="7:8" x14ac:dyDescent="0.25">
      <c r="G168" s="37">
        <v>178</v>
      </c>
      <c r="H168" t="s">
        <v>674</v>
      </c>
    </row>
    <row r="169" spans="7:8" x14ac:dyDescent="0.25">
      <c r="G169" s="37">
        <v>127</v>
      </c>
      <c r="H169" t="s">
        <v>623</v>
      </c>
    </row>
    <row r="170" spans="7:8" x14ac:dyDescent="0.25">
      <c r="G170" s="37">
        <v>181</v>
      </c>
      <c r="H170" t="s">
        <v>677</v>
      </c>
    </row>
    <row r="171" spans="7:8" x14ac:dyDescent="0.25">
      <c r="G171" s="37">
        <v>172</v>
      </c>
      <c r="H171" t="s">
        <v>668</v>
      </c>
    </row>
    <row r="172" spans="7:8" x14ac:dyDescent="0.25">
      <c r="G172" s="37">
        <v>180</v>
      </c>
      <c r="H172" t="s">
        <v>676</v>
      </c>
    </row>
    <row r="173" spans="7:8" x14ac:dyDescent="0.25">
      <c r="G173" s="37">
        <v>170</v>
      </c>
      <c r="H173" t="s">
        <v>666</v>
      </c>
    </row>
    <row r="174" spans="7:8" x14ac:dyDescent="0.25">
      <c r="G174" s="37">
        <v>171</v>
      </c>
      <c r="H174" t="s">
        <v>667</v>
      </c>
    </row>
    <row r="175" spans="7:8" x14ac:dyDescent="0.25">
      <c r="G175" s="37">
        <v>165</v>
      </c>
      <c r="H175" t="s">
        <v>661</v>
      </c>
    </row>
    <row r="176" spans="7:8" x14ac:dyDescent="0.25">
      <c r="G176" s="37">
        <v>164</v>
      </c>
      <c r="H176" t="s">
        <v>660</v>
      </c>
    </row>
    <row r="177" spans="7:8" x14ac:dyDescent="0.25">
      <c r="G177" s="37">
        <v>173</v>
      </c>
      <c r="H177" t="s">
        <v>669</v>
      </c>
    </row>
    <row r="178" spans="7:8" x14ac:dyDescent="0.25">
      <c r="G178" s="37">
        <v>183</v>
      </c>
      <c r="H178" t="s">
        <v>679</v>
      </c>
    </row>
    <row r="179" spans="7:8" x14ac:dyDescent="0.25">
      <c r="G179" s="37">
        <v>191</v>
      </c>
      <c r="H179" t="s">
        <v>687</v>
      </c>
    </row>
    <row r="180" spans="7:8" x14ac:dyDescent="0.25">
      <c r="G180" s="37">
        <v>187</v>
      </c>
      <c r="H180" t="s">
        <v>683</v>
      </c>
    </row>
    <row r="181" spans="7:8" x14ac:dyDescent="0.25">
      <c r="G181" s="37">
        <v>119</v>
      </c>
      <c r="H181" t="s">
        <v>615</v>
      </c>
    </row>
    <row r="182" spans="7:8" x14ac:dyDescent="0.25">
      <c r="G182" s="37">
        <v>188</v>
      </c>
      <c r="H182" t="s">
        <v>684</v>
      </c>
    </row>
    <row r="183" spans="7:8" x14ac:dyDescent="0.25">
      <c r="G183" s="37">
        <v>186</v>
      </c>
      <c r="H183" t="s">
        <v>682</v>
      </c>
    </row>
    <row r="184" spans="7:8" x14ac:dyDescent="0.25">
      <c r="G184" s="37">
        <v>189</v>
      </c>
      <c r="H184" t="s">
        <v>685</v>
      </c>
    </row>
    <row r="185" spans="7:8" x14ac:dyDescent="0.25">
      <c r="G185" s="37">
        <v>201</v>
      </c>
      <c r="H185" t="s">
        <v>697</v>
      </c>
    </row>
    <row r="186" spans="7:8" x14ac:dyDescent="0.25">
      <c r="G186" s="37">
        <v>190</v>
      </c>
      <c r="H186" t="s">
        <v>686</v>
      </c>
    </row>
    <row r="187" spans="7:8" x14ac:dyDescent="0.25">
      <c r="G187" s="37">
        <v>8</v>
      </c>
      <c r="H187" t="s">
        <v>854</v>
      </c>
    </row>
    <row r="188" spans="7:8" x14ac:dyDescent="0.25">
      <c r="G188" s="37">
        <v>13</v>
      </c>
      <c r="H188" t="s">
        <v>859</v>
      </c>
    </row>
    <row r="189" spans="7:8" x14ac:dyDescent="0.25">
      <c r="G189" s="37">
        <v>19</v>
      </c>
      <c r="H189" t="s">
        <v>865</v>
      </c>
    </row>
    <row r="190" spans="7:8" x14ac:dyDescent="0.25">
      <c r="G190" s="37">
        <v>185</v>
      </c>
      <c r="H190" t="s">
        <v>681</v>
      </c>
    </row>
    <row r="191" spans="7:8" x14ac:dyDescent="0.25">
      <c r="G191" s="37">
        <v>184</v>
      </c>
      <c r="H191" t="s">
        <v>680</v>
      </c>
    </row>
    <row r="192" spans="7:8" x14ac:dyDescent="0.25">
      <c r="G192" s="37">
        <v>192</v>
      </c>
      <c r="H192" t="s">
        <v>688</v>
      </c>
    </row>
    <row r="193" spans="7:8" x14ac:dyDescent="0.25">
      <c r="G193" s="37">
        <v>6</v>
      </c>
      <c r="H193" t="s">
        <v>852</v>
      </c>
    </row>
    <row r="194" spans="7:8" x14ac:dyDescent="0.25">
      <c r="G194" s="37">
        <v>193</v>
      </c>
      <c r="H194" t="s">
        <v>689</v>
      </c>
    </row>
    <row r="195" spans="7:8" x14ac:dyDescent="0.25">
      <c r="G195" s="37">
        <v>196</v>
      </c>
      <c r="H195" t="s">
        <v>692</v>
      </c>
    </row>
    <row r="196" spans="7:8" x14ac:dyDescent="0.25">
      <c r="G196" s="37">
        <v>198</v>
      </c>
      <c r="H196" t="s">
        <v>694</v>
      </c>
    </row>
    <row r="197" spans="7:8" x14ac:dyDescent="0.25">
      <c r="G197" s="37">
        <v>130</v>
      </c>
      <c r="H197" t="s">
        <v>626</v>
      </c>
    </row>
    <row r="198" spans="7:8" x14ac:dyDescent="0.25">
      <c r="G198" s="37">
        <v>203</v>
      </c>
      <c r="H198" t="s">
        <v>699</v>
      </c>
    </row>
    <row r="199" spans="7:8" x14ac:dyDescent="0.25">
      <c r="G199" s="37">
        <v>204</v>
      </c>
      <c r="H199" t="s">
        <v>700</v>
      </c>
    </row>
    <row r="200" spans="7:8" x14ac:dyDescent="0.25">
      <c r="G200" s="37">
        <v>197</v>
      </c>
      <c r="H200" t="s">
        <v>693</v>
      </c>
    </row>
    <row r="201" spans="7:8" x14ac:dyDescent="0.25">
      <c r="G201" s="37">
        <v>199</v>
      </c>
      <c r="H201" t="s">
        <v>695</v>
      </c>
    </row>
    <row r="202" spans="7:8" x14ac:dyDescent="0.25">
      <c r="G202" s="37">
        <v>205</v>
      </c>
      <c r="H202" t="s">
        <v>701</v>
      </c>
    </row>
    <row r="203" spans="7:8" x14ac:dyDescent="0.25">
      <c r="G203" s="37">
        <v>207</v>
      </c>
      <c r="H203" t="s">
        <v>703</v>
      </c>
    </row>
    <row r="204" spans="7:8" x14ac:dyDescent="0.25">
      <c r="G204" s="37">
        <v>72</v>
      </c>
      <c r="H204" t="s">
        <v>568</v>
      </c>
    </row>
    <row r="205" spans="7:8" x14ac:dyDescent="0.25">
      <c r="G205" s="37">
        <v>208</v>
      </c>
      <c r="H205" t="s">
        <v>704</v>
      </c>
    </row>
    <row r="206" spans="7:8" x14ac:dyDescent="0.25">
      <c r="G206" s="37">
        <v>200</v>
      </c>
      <c r="H206" t="s">
        <v>696</v>
      </c>
    </row>
    <row r="207" spans="7:8" x14ac:dyDescent="0.25">
      <c r="G207" s="37">
        <v>255</v>
      </c>
      <c r="H207" t="s">
        <v>751</v>
      </c>
    </row>
    <row r="208" spans="7:8" x14ac:dyDescent="0.25">
      <c r="G208" s="37">
        <v>206</v>
      </c>
      <c r="H208" t="s">
        <v>702</v>
      </c>
    </row>
    <row r="209" spans="7:8" x14ac:dyDescent="0.25">
      <c r="G209" s="37">
        <v>209</v>
      </c>
      <c r="H209" t="s">
        <v>705</v>
      </c>
    </row>
    <row r="210" spans="7:8" x14ac:dyDescent="0.25">
      <c r="G210" s="37">
        <v>152</v>
      </c>
      <c r="H210" t="s">
        <v>648</v>
      </c>
    </row>
    <row r="211" spans="7:8" x14ac:dyDescent="0.25">
      <c r="G211" s="37">
        <v>214</v>
      </c>
      <c r="H211" t="s">
        <v>710</v>
      </c>
    </row>
    <row r="212" spans="7:8" x14ac:dyDescent="0.25">
      <c r="G212" s="37">
        <v>216</v>
      </c>
      <c r="H212" t="s">
        <v>712</v>
      </c>
    </row>
    <row r="213" spans="7:8" x14ac:dyDescent="0.25">
      <c r="G213" s="37">
        <v>217</v>
      </c>
      <c r="H213" t="s">
        <v>713</v>
      </c>
    </row>
    <row r="214" spans="7:8" x14ac:dyDescent="0.25">
      <c r="G214" s="37">
        <v>36</v>
      </c>
      <c r="H214" t="s">
        <v>532</v>
      </c>
    </row>
    <row r="215" spans="7:8" x14ac:dyDescent="0.25">
      <c r="G215" s="37">
        <v>240</v>
      </c>
      <c r="H215" t="s">
        <v>736</v>
      </c>
    </row>
    <row r="216" spans="7:8" x14ac:dyDescent="0.25">
      <c r="G216" s="37">
        <v>232</v>
      </c>
      <c r="H216" t="s">
        <v>728</v>
      </c>
    </row>
    <row r="217" spans="7:8" x14ac:dyDescent="0.25">
      <c r="G217" s="37">
        <v>236</v>
      </c>
      <c r="H217" t="s">
        <v>732</v>
      </c>
    </row>
    <row r="218" spans="7:8" x14ac:dyDescent="0.25">
      <c r="G218" s="37">
        <v>98</v>
      </c>
      <c r="H218" t="s">
        <v>594</v>
      </c>
    </row>
    <row r="219" spans="7:8" x14ac:dyDescent="0.25">
      <c r="G219" s="37">
        <v>226</v>
      </c>
      <c r="H219" t="s">
        <v>722</v>
      </c>
    </row>
    <row r="220" spans="7:8" x14ac:dyDescent="0.25">
      <c r="G220" s="37">
        <v>246</v>
      </c>
      <c r="H220" t="s">
        <v>742</v>
      </c>
    </row>
    <row r="221" spans="7:8" x14ac:dyDescent="0.25">
      <c r="G221" s="37">
        <v>131</v>
      </c>
      <c r="H221" t="s">
        <v>627</v>
      </c>
    </row>
    <row r="222" spans="7:8" x14ac:dyDescent="0.25">
      <c r="G222" s="37">
        <v>235</v>
      </c>
      <c r="H222" t="s">
        <v>731</v>
      </c>
    </row>
    <row r="223" spans="7:8" x14ac:dyDescent="0.25">
      <c r="G223" s="37">
        <v>228</v>
      </c>
      <c r="H223" t="s">
        <v>724</v>
      </c>
    </row>
    <row r="224" spans="7:8" x14ac:dyDescent="0.25">
      <c r="G224" s="37">
        <v>221</v>
      </c>
      <c r="H224" t="s">
        <v>717</v>
      </c>
    </row>
    <row r="225" spans="7:8" x14ac:dyDescent="0.25">
      <c r="G225" s="37">
        <v>239</v>
      </c>
      <c r="H225" t="s">
        <v>735</v>
      </c>
    </row>
    <row r="226" spans="7:8" x14ac:dyDescent="0.25">
      <c r="G226" s="37">
        <v>16</v>
      </c>
      <c r="H226" t="s">
        <v>862</v>
      </c>
    </row>
    <row r="227" spans="7:8" x14ac:dyDescent="0.25">
      <c r="G227" s="37">
        <v>18</v>
      </c>
      <c r="H227" t="s">
        <v>864</v>
      </c>
    </row>
    <row r="228" spans="7:8" x14ac:dyDescent="0.25">
      <c r="G228" s="37">
        <v>12</v>
      </c>
      <c r="H228" t="s">
        <v>858</v>
      </c>
    </row>
    <row r="229" spans="7:8" x14ac:dyDescent="0.25">
      <c r="G229" s="37">
        <v>224</v>
      </c>
      <c r="H229" t="s">
        <v>720</v>
      </c>
    </row>
    <row r="230" spans="7:8" x14ac:dyDescent="0.25">
      <c r="G230" s="37">
        <v>233</v>
      </c>
      <c r="H230" t="s">
        <v>729</v>
      </c>
    </row>
    <row r="231" spans="7:8" x14ac:dyDescent="0.25">
      <c r="G231" s="37">
        <v>241</v>
      </c>
      <c r="H231" t="s">
        <v>737</v>
      </c>
    </row>
    <row r="232" spans="7:8" x14ac:dyDescent="0.25">
      <c r="G232" s="37">
        <v>231</v>
      </c>
      <c r="H232" t="s">
        <v>727</v>
      </c>
    </row>
    <row r="233" spans="7:8" x14ac:dyDescent="0.25">
      <c r="G233" s="37">
        <v>245</v>
      </c>
      <c r="H233" t="s">
        <v>741</v>
      </c>
    </row>
    <row r="234" spans="7:8" x14ac:dyDescent="0.25">
      <c r="G234" s="37">
        <v>237</v>
      </c>
      <c r="H234" t="s">
        <v>733</v>
      </c>
    </row>
    <row r="235" spans="7:8" x14ac:dyDescent="0.25">
      <c r="G235" s="37">
        <v>238</v>
      </c>
      <c r="H235" t="s">
        <v>734</v>
      </c>
    </row>
    <row r="236" spans="7:8" x14ac:dyDescent="0.25">
      <c r="G236" s="37">
        <v>243</v>
      </c>
      <c r="H236" t="s">
        <v>739</v>
      </c>
    </row>
    <row r="237" spans="7:8" x14ac:dyDescent="0.25">
      <c r="G237" s="37">
        <v>88</v>
      </c>
      <c r="H237" t="s">
        <v>584</v>
      </c>
    </row>
    <row r="238" spans="7:8" x14ac:dyDescent="0.25">
      <c r="G238" s="37">
        <v>223</v>
      </c>
      <c r="H238" t="s">
        <v>719</v>
      </c>
    </row>
    <row r="239" spans="7:8" x14ac:dyDescent="0.25">
      <c r="G239" s="37">
        <v>234</v>
      </c>
      <c r="H239" t="s">
        <v>730</v>
      </c>
    </row>
    <row r="240" spans="7:8" x14ac:dyDescent="0.25">
      <c r="G240" s="37">
        <v>247</v>
      </c>
      <c r="H240" t="s">
        <v>743</v>
      </c>
    </row>
    <row r="241" spans="7:8" x14ac:dyDescent="0.25">
      <c r="G241" s="37">
        <v>132</v>
      </c>
      <c r="H241" t="s">
        <v>628</v>
      </c>
    </row>
    <row r="242" spans="7:8" x14ac:dyDescent="0.25">
      <c r="G242" s="37">
        <v>251</v>
      </c>
      <c r="H242" t="s">
        <v>747</v>
      </c>
    </row>
    <row r="243" spans="7:8" x14ac:dyDescent="0.25">
      <c r="G243" s="37">
        <v>258</v>
      </c>
      <c r="H243" t="s">
        <v>754</v>
      </c>
    </row>
    <row r="244" spans="7:8" x14ac:dyDescent="0.25">
      <c r="G244" s="37">
        <v>256</v>
      </c>
      <c r="H244" t="s">
        <v>752</v>
      </c>
    </row>
    <row r="245" spans="7:8" x14ac:dyDescent="0.25">
      <c r="G245" s="37">
        <v>248</v>
      </c>
      <c r="H245" t="s">
        <v>744</v>
      </c>
    </row>
    <row r="246" spans="7:8" x14ac:dyDescent="0.25">
      <c r="G246" s="37">
        <v>259</v>
      </c>
      <c r="H246" t="s">
        <v>755</v>
      </c>
    </row>
    <row r="247" spans="7:8" x14ac:dyDescent="0.25">
      <c r="G247" s="37">
        <v>263</v>
      </c>
      <c r="H247" t="s">
        <v>759</v>
      </c>
    </row>
    <row r="248" spans="7:8" x14ac:dyDescent="0.25">
      <c r="G248" s="37">
        <v>257</v>
      </c>
      <c r="H248" t="s">
        <v>753</v>
      </c>
    </row>
    <row r="249" spans="7:8" x14ac:dyDescent="0.25">
      <c r="G249" s="37">
        <v>260</v>
      </c>
      <c r="H249" t="s">
        <v>756</v>
      </c>
    </row>
    <row r="250" spans="7:8" x14ac:dyDescent="0.25">
      <c r="G250" s="37">
        <v>261</v>
      </c>
      <c r="H250" t="s">
        <v>757</v>
      </c>
    </row>
    <row r="251" spans="7:8" x14ac:dyDescent="0.25">
      <c r="G251" s="37">
        <v>262</v>
      </c>
      <c r="H251" t="s">
        <v>758</v>
      </c>
    </row>
    <row r="252" spans="7:8" x14ac:dyDescent="0.25">
      <c r="G252" s="37">
        <v>264</v>
      </c>
      <c r="H252" t="s">
        <v>760</v>
      </c>
    </row>
    <row r="253" spans="7:8" x14ac:dyDescent="0.25">
      <c r="G253" s="37">
        <v>265</v>
      </c>
      <c r="H253" t="s">
        <v>761</v>
      </c>
    </row>
    <row r="254" spans="7:8" x14ac:dyDescent="0.25">
      <c r="G254" s="37">
        <v>249</v>
      </c>
      <c r="H254" t="s">
        <v>745</v>
      </c>
    </row>
    <row r="255" spans="7:8" x14ac:dyDescent="0.25">
      <c r="G255" s="37">
        <v>250</v>
      </c>
      <c r="H255" t="s">
        <v>746</v>
      </c>
    </row>
    <row r="256" spans="7:8" x14ac:dyDescent="0.25">
      <c r="G256" s="37">
        <v>194</v>
      </c>
      <c r="H256" t="s">
        <v>690</v>
      </c>
    </row>
    <row r="257" spans="7:8" x14ac:dyDescent="0.25">
      <c r="G257" s="37">
        <v>266</v>
      </c>
      <c r="H257" t="s">
        <v>762</v>
      </c>
    </row>
    <row r="258" spans="7:8" x14ac:dyDescent="0.25">
      <c r="G258" s="37">
        <v>129</v>
      </c>
      <c r="H258" t="s">
        <v>625</v>
      </c>
    </row>
    <row r="259" spans="7:8" x14ac:dyDescent="0.25">
      <c r="G259" s="37">
        <v>267</v>
      </c>
      <c r="H259" t="s">
        <v>763</v>
      </c>
    </row>
    <row r="260" spans="7:8" x14ac:dyDescent="0.25">
      <c r="G260" s="37">
        <v>90</v>
      </c>
      <c r="H260" t="s">
        <v>586</v>
      </c>
    </row>
    <row r="261" spans="7:8" x14ac:dyDescent="0.25">
      <c r="G261" s="37">
        <v>195</v>
      </c>
      <c r="H261" t="s">
        <v>691</v>
      </c>
    </row>
    <row r="262" spans="7:8" x14ac:dyDescent="0.25">
      <c r="G262" s="37">
        <v>89</v>
      </c>
      <c r="H262" t="s">
        <v>585</v>
      </c>
    </row>
    <row r="263" spans="7:8" x14ac:dyDescent="0.25">
      <c r="G263" s="37">
        <v>225</v>
      </c>
      <c r="H263" t="s">
        <v>721</v>
      </c>
    </row>
    <row r="264" spans="7:8" x14ac:dyDescent="0.25">
      <c r="G264" s="37">
        <v>269</v>
      </c>
      <c r="H264" t="s">
        <v>765</v>
      </c>
    </row>
    <row r="265" spans="7:8" x14ac:dyDescent="0.25">
      <c r="G265" s="37">
        <v>133</v>
      </c>
      <c r="H265" t="s">
        <v>629</v>
      </c>
    </row>
    <row r="266" spans="7:8" x14ac:dyDescent="0.25">
      <c r="G266" s="37">
        <v>134</v>
      </c>
      <c r="H266" t="s">
        <v>630</v>
      </c>
    </row>
    <row r="267" spans="7:8" x14ac:dyDescent="0.25">
      <c r="G267" s="37">
        <v>270</v>
      </c>
      <c r="H267" t="s">
        <v>766</v>
      </c>
    </row>
    <row r="268" spans="7:8" x14ac:dyDescent="0.25">
      <c r="G268" s="37">
        <v>268</v>
      </c>
      <c r="H268" t="s">
        <v>764</v>
      </c>
    </row>
    <row r="269" spans="7:8" x14ac:dyDescent="0.25">
      <c r="G269" s="37">
        <v>9</v>
      </c>
      <c r="H269" t="s">
        <v>855</v>
      </c>
    </row>
    <row r="270" spans="7:8" x14ac:dyDescent="0.25">
      <c r="G270" s="37">
        <v>22</v>
      </c>
      <c r="H270" t="s">
        <v>868</v>
      </c>
    </row>
    <row r="271" spans="7:8" x14ac:dyDescent="0.25">
      <c r="G271" s="37">
        <v>271</v>
      </c>
      <c r="H271" t="s">
        <v>767</v>
      </c>
    </row>
    <row r="272" spans="7:8" x14ac:dyDescent="0.25">
      <c r="G272" s="37">
        <v>1</v>
      </c>
      <c r="H272" t="s">
        <v>847</v>
      </c>
    </row>
    <row r="273" spans="7:8" x14ac:dyDescent="0.25">
      <c r="G273" s="37">
        <v>229</v>
      </c>
      <c r="H273" t="s">
        <v>725</v>
      </c>
    </row>
    <row r="274" spans="7:8" x14ac:dyDescent="0.25">
      <c r="G274" s="37">
        <v>272</v>
      </c>
      <c r="H274" t="s">
        <v>768</v>
      </c>
    </row>
    <row r="275" spans="7:8" x14ac:dyDescent="0.25">
      <c r="G275" s="37">
        <v>27</v>
      </c>
      <c r="H275" t="s">
        <v>523</v>
      </c>
    </row>
    <row r="276" spans="7:8" x14ac:dyDescent="0.25">
      <c r="G276" s="37">
        <v>273</v>
      </c>
      <c r="H276" t="s">
        <v>769</v>
      </c>
    </row>
    <row r="277" spans="7:8" x14ac:dyDescent="0.25">
      <c r="G277" s="37">
        <v>274</v>
      </c>
      <c r="H277" t="s">
        <v>770</v>
      </c>
    </row>
  </sheetData>
  <mergeCells count="4">
    <mergeCell ref="A2:B2"/>
    <mergeCell ref="D2:E2"/>
    <mergeCell ref="G2:H2"/>
    <mergeCell ref="A17:B17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0318-BADA-40B3-97E0-4778BA72FDD0}">
  <sheetPr codeName="Feuil13">
    <tabColor theme="4" tint="0.39997558519241921"/>
  </sheetPr>
  <dimension ref="B2:F402"/>
  <sheetViews>
    <sheetView topLeftCell="A384" workbookViewId="0">
      <selection activeCell="B3" sqref="A3:F402"/>
    </sheetView>
  </sheetViews>
  <sheetFormatPr baseColWidth="10" defaultColWidth="11.42578125" defaultRowHeight="15" x14ac:dyDescent="0.25"/>
  <cols>
    <col min="1" max="1" width="11.42578125" style="2"/>
    <col min="2" max="2" width="11.42578125" style="36"/>
    <col min="3" max="3" width="119" style="2" customWidth="1"/>
    <col min="4" max="4" width="11.42578125" style="36"/>
    <col min="5" max="5" width="12.28515625" style="36" customWidth="1"/>
    <col min="6" max="6" width="14.42578125" style="36" customWidth="1"/>
    <col min="7" max="16384" width="11.42578125" style="2"/>
  </cols>
  <sheetData>
    <row r="2" spans="2:6" x14ac:dyDescent="0.25">
      <c r="B2" s="37" t="s">
        <v>401</v>
      </c>
      <c r="C2" t="s">
        <v>402</v>
      </c>
      <c r="D2" s="37" t="s">
        <v>403</v>
      </c>
      <c r="E2" s="37" t="s">
        <v>404</v>
      </c>
      <c r="F2" s="37" t="s">
        <v>405</v>
      </c>
    </row>
    <row r="3" spans="2:6" x14ac:dyDescent="0.25">
      <c r="B3">
        <v>479</v>
      </c>
      <c r="C3" t="s">
        <v>994</v>
      </c>
      <c r="D3"/>
      <c r="E3">
        <v>0</v>
      </c>
      <c r="F3" t="s">
        <v>943</v>
      </c>
    </row>
    <row r="4" spans="2:6" x14ac:dyDescent="0.25">
      <c r="B4">
        <v>480</v>
      </c>
      <c r="C4" t="s">
        <v>942</v>
      </c>
      <c r="D4">
        <v>479</v>
      </c>
      <c r="E4">
        <v>1</v>
      </c>
      <c r="F4" t="s">
        <v>943</v>
      </c>
    </row>
    <row r="5" spans="2:6" x14ac:dyDescent="0.25">
      <c r="B5">
        <v>487</v>
      </c>
      <c r="C5" t="s">
        <v>87</v>
      </c>
      <c r="D5">
        <v>480</v>
      </c>
      <c r="E5">
        <v>2</v>
      </c>
      <c r="F5" t="s">
        <v>943</v>
      </c>
    </row>
    <row r="6" spans="2:6" x14ac:dyDescent="0.25">
      <c r="B6">
        <v>521</v>
      </c>
      <c r="C6" t="s">
        <v>127</v>
      </c>
      <c r="D6">
        <v>487</v>
      </c>
      <c r="E6">
        <v>3</v>
      </c>
      <c r="F6" t="s">
        <v>943</v>
      </c>
    </row>
    <row r="7" spans="2:6" x14ac:dyDescent="0.25">
      <c r="B7">
        <v>581</v>
      </c>
      <c r="C7" t="s">
        <v>223</v>
      </c>
      <c r="D7">
        <v>521</v>
      </c>
      <c r="E7">
        <v>4</v>
      </c>
      <c r="F7" t="s">
        <v>945</v>
      </c>
    </row>
    <row r="8" spans="2:6" x14ac:dyDescent="0.25">
      <c r="B8">
        <v>582</v>
      </c>
      <c r="C8" t="s">
        <v>953</v>
      </c>
      <c r="D8">
        <v>521</v>
      </c>
      <c r="E8">
        <v>4</v>
      </c>
      <c r="F8" t="s">
        <v>945</v>
      </c>
    </row>
    <row r="9" spans="2:6" x14ac:dyDescent="0.25">
      <c r="B9">
        <v>583</v>
      </c>
      <c r="C9" t="s">
        <v>225</v>
      </c>
      <c r="D9">
        <v>521</v>
      </c>
      <c r="E9">
        <v>4</v>
      </c>
      <c r="F9" t="s">
        <v>945</v>
      </c>
    </row>
    <row r="10" spans="2:6" x14ac:dyDescent="0.25">
      <c r="B10">
        <v>522</v>
      </c>
      <c r="C10" t="s">
        <v>128</v>
      </c>
      <c r="D10">
        <v>487</v>
      </c>
      <c r="E10">
        <v>3</v>
      </c>
      <c r="F10" t="s">
        <v>943</v>
      </c>
    </row>
    <row r="11" spans="2:6" x14ac:dyDescent="0.25">
      <c r="B11">
        <v>584</v>
      </c>
      <c r="C11" t="s">
        <v>226</v>
      </c>
      <c r="D11">
        <v>522</v>
      </c>
      <c r="E11">
        <v>4</v>
      </c>
      <c r="F11" t="s">
        <v>945</v>
      </c>
    </row>
    <row r="12" spans="2:6" x14ac:dyDescent="0.25">
      <c r="B12">
        <v>585</v>
      </c>
      <c r="C12" t="s">
        <v>227</v>
      </c>
      <c r="D12">
        <v>522</v>
      </c>
      <c r="E12">
        <v>4</v>
      </c>
      <c r="F12" t="s">
        <v>945</v>
      </c>
    </row>
    <row r="13" spans="2:6" x14ac:dyDescent="0.25">
      <c r="B13">
        <v>523</v>
      </c>
      <c r="C13" t="s">
        <v>129</v>
      </c>
      <c r="D13">
        <v>487</v>
      </c>
      <c r="E13">
        <v>3</v>
      </c>
      <c r="F13" t="s">
        <v>943</v>
      </c>
    </row>
    <row r="14" spans="2:6" x14ac:dyDescent="0.25">
      <c r="B14">
        <v>586</v>
      </c>
      <c r="C14" t="s">
        <v>228</v>
      </c>
      <c r="D14">
        <v>523</v>
      </c>
      <c r="E14">
        <v>4</v>
      </c>
      <c r="F14" t="s">
        <v>945</v>
      </c>
    </row>
    <row r="15" spans="2:6" x14ac:dyDescent="0.25">
      <c r="B15">
        <v>587</v>
      </c>
      <c r="C15" t="s">
        <v>229</v>
      </c>
      <c r="D15">
        <v>523</v>
      </c>
      <c r="E15">
        <v>4</v>
      </c>
      <c r="F15" t="s">
        <v>945</v>
      </c>
    </row>
    <row r="16" spans="2:6" x14ac:dyDescent="0.25">
      <c r="B16">
        <v>588</v>
      </c>
      <c r="C16" t="s">
        <v>230</v>
      </c>
      <c r="D16">
        <v>523</v>
      </c>
      <c r="E16">
        <v>4</v>
      </c>
      <c r="F16" t="s">
        <v>945</v>
      </c>
    </row>
    <row r="17" spans="2:6" x14ac:dyDescent="0.25">
      <c r="B17">
        <v>524</v>
      </c>
      <c r="C17" t="s">
        <v>130</v>
      </c>
      <c r="D17">
        <v>487</v>
      </c>
      <c r="E17">
        <v>3</v>
      </c>
      <c r="F17" t="s">
        <v>943</v>
      </c>
    </row>
    <row r="18" spans="2:6" x14ac:dyDescent="0.25">
      <c r="B18">
        <v>589</v>
      </c>
      <c r="C18" t="s">
        <v>231</v>
      </c>
      <c r="D18">
        <v>524</v>
      </c>
      <c r="E18">
        <v>4</v>
      </c>
      <c r="F18" t="s">
        <v>945</v>
      </c>
    </row>
    <row r="19" spans="2:6" x14ac:dyDescent="0.25">
      <c r="B19">
        <v>525</v>
      </c>
      <c r="C19" t="s">
        <v>131</v>
      </c>
      <c r="D19">
        <v>487</v>
      </c>
      <c r="E19">
        <v>3</v>
      </c>
      <c r="F19" t="s">
        <v>943</v>
      </c>
    </row>
    <row r="20" spans="2:6" x14ac:dyDescent="0.25">
      <c r="B20">
        <v>590</v>
      </c>
      <c r="C20" t="s">
        <v>232</v>
      </c>
      <c r="D20">
        <v>525</v>
      </c>
      <c r="E20">
        <v>4</v>
      </c>
      <c r="F20" t="s">
        <v>945</v>
      </c>
    </row>
    <row r="21" spans="2:6" x14ac:dyDescent="0.25">
      <c r="B21">
        <v>591</v>
      </c>
      <c r="C21" t="s">
        <v>233</v>
      </c>
      <c r="D21">
        <v>525</v>
      </c>
      <c r="E21">
        <v>4</v>
      </c>
      <c r="F21" t="s">
        <v>945</v>
      </c>
    </row>
    <row r="22" spans="2:6" x14ac:dyDescent="0.25">
      <c r="B22">
        <v>592</v>
      </c>
      <c r="C22" t="s">
        <v>234</v>
      </c>
      <c r="D22">
        <v>525</v>
      </c>
      <c r="E22">
        <v>4</v>
      </c>
      <c r="F22" t="s">
        <v>945</v>
      </c>
    </row>
    <row r="23" spans="2:6" x14ac:dyDescent="0.25">
      <c r="B23">
        <v>526</v>
      </c>
      <c r="C23" t="s">
        <v>132</v>
      </c>
      <c r="D23">
        <v>487</v>
      </c>
      <c r="E23">
        <v>3</v>
      </c>
      <c r="F23" t="s">
        <v>943</v>
      </c>
    </row>
    <row r="24" spans="2:6" x14ac:dyDescent="0.25">
      <c r="B24">
        <v>593</v>
      </c>
      <c r="C24" t="s">
        <v>235</v>
      </c>
      <c r="D24">
        <v>526</v>
      </c>
      <c r="E24">
        <v>4</v>
      </c>
      <c r="F24" t="s">
        <v>945</v>
      </c>
    </row>
    <row r="25" spans="2:6" x14ac:dyDescent="0.25">
      <c r="B25">
        <v>594</v>
      </c>
      <c r="C25" t="s">
        <v>236</v>
      </c>
      <c r="D25">
        <v>526</v>
      </c>
      <c r="E25">
        <v>4</v>
      </c>
      <c r="F25" t="s">
        <v>945</v>
      </c>
    </row>
    <row r="26" spans="2:6" x14ac:dyDescent="0.25">
      <c r="B26">
        <v>595</v>
      </c>
      <c r="C26" t="s">
        <v>237</v>
      </c>
      <c r="D26">
        <v>526</v>
      </c>
      <c r="E26">
        <v>4</v>
      </c>
      <c r="F26" t="s">
        <v>945</v>
      </c>
    </row>
    <row r="27" spans="2:6" x14ac:dyDescent="0.25">
      <c r="B27">
        <v>527</v>
      </c>
      <c r="C27" t="s">
        <v>133</v>
      </c>
      <c r="D27">
        <v>487</v>
      </c>
      <c r="E27">
        <v>3</v>
      </c>
      <c r="F27" t="s">
        <v>943</v>
      </c>
    </row>
    <row r="28" spans="2:6" x14ac:dyDescent="0.25">
      <c r="B28">
        <v>596</v>
      </c>
      <c r="C28" t="s">
        <v>238</v>
      </c>
      <c r="D28">
        <v>527</v>
      </c>
      <c r="E28">
        <v>4</v>
      </c>
      <c r="F28" t="s">
        <v>945</v>
      </c>
    </row>
    <row r="29" spans="2:6" x14ac:dyDescent="0.25">
      <c r="B29">
        <v>488</v>
      </c>
      <c r="C29" t="s">
        <v>88</v>
      </c>
      <c r="D29">
        <v>480</v>
      </c>
      <c r="E29">
        <v>2</v>
      </c>
      <c r="F29" t="s">
        <v>943</v>
      </c>
    </row>
    <row r="30" spans="2:6" x14ac:dyDescent="0.25">
      <c r="B30">
        <v>528</v>
      </c>
      <c r="C30" t="s">
        <v>134</v>
      </c>
      <c r="D30">
        <v>488</v>
      </c>
      <c r="E30">
        <v>3</v>
      </c>
      <c r="F30" t="s">
        <v>943</v>
      </c>
    </row>
    <row r="31" spans="2:6" x14ac:dyDescent="0.25">
      <c r="B31">
        <v>597</v>
      </c>
      <c r="C31" t="s">
        <v>239</v>
      </c>
      <c r="D31">
        <v>528</v>
      </c>
      <c r="E31">
        <v>4</v>
      </c>
      <c r="F31" t="s">
        <v>945</v>
      </c>
    </row>
    <row r="32" spans="2:6" x14ac:dyDescent="0.25">
      <c r="B32">
        <v>598</v>
      </c>
      <c r="C32" t="s">
        <v>240</v>
      </c>
      <c r="D32">
        <v>528</v>
      </c>
      <c r="E32">
        <v>4</v>
      </c>
      <c r="F32" t="s">
        <v>945</v>
      </c>
    </row>
    <row r="33" spans="2:6" x14ac:dyDescent="0.25">
      <c r="B33">
        <v>599</v>
      </c>
      <c r="C33" t="s">
        <v>241</v>
      </c>
      <c r="D33">
        <v>528</v>
      </c>
      <c r="E33">
        <v>4</v>
      </c>
      <c r="F33" t="s">
        <v>945</v>
      </c>
    </row>
    <row r="34" spans="2:6" x14ac:dyDescent="0.25">
      <c r="B34">
        <v>600</v>
      </c>
      <c r="C34" t="s">
        <v>242</v>
      </c>
      <c r="D34">
        <v>528</v>
      </c>
      <c r="E34">
        <v>4</v>
      </c>
      <c r="F34" t="s">
        <v>945</v>
      </c>
    </row>
    <row r="35" spans="2:6" x14ac:dyDescent="0.25">
      <c r="B35">
        <v>601</v>
      </c>
      <c r="C35" t="s">
        <v>243</v>
      </c>
      <c r="D35">
        <v>528</v>
      </c>
      <c r="E35">
        <v>4</v>
      </c>
      <c r="F35" t="s">
        <v>945</v>
      </c>
    </row>
    <row r="36" spans="2:6" x14ac:dyDescent="0.25">
      <c r="B36">
        <v>602</v>
      </c>
      <c r="C36" t="s">
        <v>244</v>
      </c>
      <c r="D36">
        <v>528</v>
      </c>
      <c r="E36">
        <v>4</v>
      </c>
      <c r="F36" t="s">
        <v>945</v>
      </c>
    </row>
    <row r="37" spans="2:6" x14ac:dyDescent="0.25">
      <c r="B37">
        <v>529</v>
      </c>
      <c r="C37" t="s">
        <v>135</v>
      </c>
      <c r="D37">
        <v>488</v>
      </c>
      <c r="E37">
        <v>3</v>
      </c>
      <c r="F37" t="s">
        <v>943</v>
      </c>
    </row>
    <row r="38" spans="2:6" x14ac:dyDescent="0.25">
      <c r="B38">
        <v>603</v>
      </c>
      <c r="C38" t="s">
        <v>245</v>
      </c>
      <c r="D38">
        <v>529</v>
      </c>
      <c r="E38">
        <v>4</v>
      </c>
      <c r="F38" t="s">
        <v>945</v>
      </c>
    </row>
    <row r="39" spans="2:6" x14ac:dyDescent="0.25">
      <c r="B39">
        <v>604</v>
      </c>
      <c r="C39" t="s">
        <v>246</v>
      </c>
      <c r="D39">
        <v>529</v>
      </c>
      <c r="E39">
        <v>4</v>
      </c>
      <c r="F39" t="s">
        <v>945</v>
      </c>
    </row>
    <row r="40" spans="2:6" x14ac:dyDescent="0.25">
      <c r="B40">
        <v>530</v>
      </c>
      <c r="C40" t="s">
        <v>136</v>
      </c>
      <c r="D40">
        <v>488</v>
      </c>
      <c r="E40">
        <v>3</v>
      </c>
      <c r="F40" t="s">
        <v>943</v>
      </c>
    </row>
    <row r="41" spans="2:6" x14ac:dyDescent="0.25">
      <c r="B41">
        <v>605</v>
      </c>
      <c r="C41" t="s">
        <v>240</v>
      </c>
      <c r="D41">
        <v>530</v>
      </c>
      <c r="E41">
        <v>4</v>
      </c>
      <c r="F41" t="s">
        <v>945</v>
      </c>
    </row>
    <row r="42" spans="2:6" x14ac:dyDescent="0.25">
      <c r="B42">
        <v>606</v>
      </c>
      <c r="C42" t="s">
        <v>247</v>
      </c>
      <c r="D42">
        <v>530</v>
      </c>
      <c r="E42">
        <v>4</v>
      </c>
      <c r="F42" t="s">
        <v>945</v>
      </c>
    </row>
    <row r="43" spans="2:6" x14ac:dyDescent="0.25">
      <c r="B43">
        <v>607</v>
      </c>
      <c r="C43" t="s">
        <v>248</v>
      </c>
      <c r="D43">
        <v>530</v>
      </c>
      <c r="E43">
        <v>4</v>
      </c>
      <c r="F43" t="s">
        <v>945</v>
      </c>
    </row>
    <row r="44" spans="2:6" x14ac:dyDescent="0.25">
      <c r="B44">
        <v>608</v>
      </c>
      <c r="C44" t="s">
        <v>249</v>
      </c>
      <c r="D44">
        <v>530</v>
      </c>
      <c r="E44">
        <v>4</v>
      </c>
      <c r="F44" t="s">
        <v>945</v>
      </c>
    </row>
    <row r="45" spans="2:6" ht="30" x14ac:dyDescent="0.25">
      <c r="B45">
        <v>531</v>
      </c>
      <c r="C45" s="118" t="s">
        <v>947</v>
      </c>
      <c r="D45">
        <v>488</v>
      </c>
      <c r="E45">
        <v>3</v>
      </c>
      <c r="F45" t="s">
        <v>943</v>
      </c>
    </row>
    <row r="46" spans="2:6" x14ac:dyDescent="0.25">
      <c r="B46">
        <v>609</v>
      </c>
      <c r="C46" t="s">
        <v>250</v>
      </c>
      <c r="D46">
        <v>531</v>
      </c>
      <c r="E46">
        <v>4</v>
      </c>
      <c r="F46" t="s">
        <v>945</v>
      </c>
    </row>
    <row r="47" spans="2:6" x14ac:dyDescent="0.25">
      <c r="B47">
        <v>610</v>
      </c>
      <c r="C47" t="s">
        <v>251</v>
      </c>
      <c r="D47">
        <v>531</v>
      </c>
      <c r="E47">
        <v>4</v>
      </c>
      <c r="F47" t="s">
        <v>945</v>
      </c>
    </row>
    <row r="48" spans="2:6" x14ac:dyDescent="0.25">
      <c r="B48">
        <v>611</v>
      </c>
      <c r="C48" t="s">
        <v>252</v>
      </c>
      <c r="D48">
        <v>531</v>
      </c>
      <c r="E48">
        <v>4</v>
      </c>
      <c r="F48" t="s">
        <v>945</v>
      </c>
    </row>
    <row r="49" spans="2:6" x14ac:dyDescent="0.25">
      <c r="B49">
        <v>532</v>
      </c>
      <c r="C49" t="s">
        <v>137</v>
      </c>
      <c r="D49">
        <v>488</v>
      </c>
      <c r="E49">
        <v>3</v>
      </c>
      <c r="F49" t="s">
        <v>943</v>
      </c>
    </row>
    <row r="50" spans="2:6" x14ac:dyDescent="0.25">
      <c r="B50">
        <v>612</v>
      </c>
      <c r="C50" t="s">
        <v>253</v>
      </c>
      <c r="D50">
        <v>532</v>
      </c>
      <c r="E50">
        <v>4</v>
      </c>
      <c r="F50" t="s">
        <v>945</v>
      </c>
    </row>
    <row r="51" spans="2:6" x14ac:dyDescent="0.25">
      <c r="B51">
        <v>613</v>
      </c>
      <c r="C51" t="s">
        <v>254</v>
      </c>
      <c r="D51">
        <v>532</v>
      </c>
      <c r="E51">
        <v>4</v>
      </c>
      <c r="F51" t="s">
        <v>945</v>
      </c>
    </row>
    <row r="52" spans="2:6" x14ac:dyDescent="0.25">
      <c r="B52">
        <v>614</v>
      </c>
      <c r="C52" t="s">
        <v>225</v>
      </c>
      <c r="D52">
        <v>532</v>
      </c>
      <c r="E52">
        <v>4</v>
      </c>
      <c r="F52" t="s">
        <v>945</v>
      </c>
    </row>
    <row r="53" spans="2:6" x14ac:dyDescent="0.25">
      <c r="B53">
        <v>533</v>
      </c>
      <c r="C53" t="s">
        <v>138</v>
      </c>
      <c r="D53">
        <v>488</v>
      </c>
      <c r="E53">
        <v>3</v>
      </c>
      <c r="F53" t="s">
        <v>943</v>
      </c>
    </row>
    <row r="54" spans="2:6" x14ac:dyDescent="0.25">
      <c r="B54">
        <v>615</v>
      </c>
      <c r="C54" t="s">
        <v>255</v>
      </c>
      <c r="D54">
        <v>533</v>
      </c>
      <c r="E54">
        <v>4</v>
      </c>
      <c r="F54" t="s">
        <v>945</v>
      </c>
    </row>
    <row r="55" spans="2:6" x14ac:dyDescent="0.25">
      <c r="B55">
        <v>616</v>
      </c>
      <c r="C55" t="s">
        <v>256</v>
      </c>
      <c r="D55">
        <v>533</v>
      </c>
      <c r="E55">
        <v>4</v>
      </c>
      <c r="F55" t="s">
        <v>945</v>
      </c>
    </row>
    <row r="56" spans="2:6" x14ac:dyDescent="0.25">
      <c r="B56">
        <v>534</v>
      </c>
      <c r="C56" t="s">
        <v>139</v>
      </c>
      <c r="D56">
        <v>488</v>
      </c>
      <c r="E56">
        <v>3</v>
      </c>
      <c r="F56" t="s">
        <v>943</v>
      </c>
    </row>
    <row r="57" spans="2:6" x14ac:dyDescent="0.25">
      <c r="B57">
        <v>617</v>
      </c>
      <c r="C57" t="s">
        <v>257</v>
      </c>
      <c r="D57">
        <v>534</v>
      </c>
      <c r="E57">
        <v>4</v>
      </c>
      <c r="F57" t="s">
        <v>945</v>
      </c>
    </row>
    <row r="58" spans="2:6" x14ac:dyDescent="0.25">
      <c r="B58">
        <v>535</v>
      </c>
      <c r="C58" t="s">
        <v>140</v>
      </c>
      <c r="D58">
        <v>488</v>
      </c>
      <c r="E58">
        <v>3</v>
      </c>
      <c r="F58" t="s">
        <v>943</v>
      </c>
    </row>
    <row r="59" spans="2:6" x14ac:dyDescent="0.25">
      <c r="B59">
        <v>618</v>
      </c>
      <c r="C59" t="s">
        <v>258</v>
      </c>
      <c r="D59">
        <v>535</v>
      </c>
      <c r="E59">
        <v>4</v>
      </c>
      <c r="F59" t="s">
        <v>945</v>
      </c>
    </row>
    <row r="60" spans="2:6" x14ac:dyDescent="0.25">
      <c r="B60">
        <v>619</v>
      </c>
      <c r="C60" t="s">
        <v>259</v>
      </c>
      <c r="D60">
        <v>535</v>
      </c>
      <c r="E60">
        <v>4</v>
      </c>
      <c r="F60" t="s">
        <v>945</v>
      </c>
    </row>
    <row r="61" spans="2:6" x14ac:dyDescent="0.25">
      <c r="B61">
        <v>620</v>
      </c>
      <c r="C61" t="s">
        <v>260</v>
      </c>
      <c r="D61">
        <v>535</v>
      </c>
      <c r="E61">
        <v>4</v>
      </c>
      <c r="F61" t="s">
        <v>945</v>
      </c>
    </row>
    <row r="62" spans="2:6" x14ac:dyDescent="0.25">
      <c r="B62">
        <v>536</v>
      </c>
      <c r="C62" t="s">
        <v>141</v>
      </c>
      <c r="D62">
        <v>488</v>
      </c>
      <c r="E62">
        <v>3</v>
      </c>
      <c r="F62" t="s">
        <v>943</v>
      </c>
    </row>
    <row r="63" spans="2:6" x14ac:dyDescent="0.25">
      <c r="B63">
        <v>621</v>
      </c>
      <c r="C63" t="s">
        <v>224</v>
      </c>
      <c r="D63">
        <v>536</v>
      </c>
      <c r="E63">
        <v>4</v>
      </c>
      <c r="F63" t="s">
        <v>945</v>
      </c>
    </row>
    <row r="64" spans="2:6" x14ac:dyDescent="0.25">
      <c r="B64">
        <v>537</v>
      </c>
      <c r="C64" t="s">
        <v>142</v>
      </c>
      <c r="D64">
        <v>488</v>
      </c>
      <c r="E64">
        <v>3</v>
      </c>
      <c r="F64" t="s">
        <v>943</v>
      </c>
    </row>
    <row r="65" spans="2:6" x14ac:dyDescent="0.25">
      <c r="B65">
        <v>622</v>
      </c>
      <c r="C65" t="s">
        <v>261</v>
      </c>
      <c r="D65">
        <v>537</v>
      </c>
      <c r="E65">
        <v>4</v>
      </c>
      <c r="F65" t="s">
        <v>945</v>
      </c>
    </row>
    <row r="66" spans="2:6" x14ac:dyDescent="0.25">
      <c r="B66">
        <v>623</v>
      </c>
      <c r="C66" t="s">
        <v>262</v>
      </c>
      <c r="D66">
        <v>537</v>
      </c>
      <c r="E66">
        <v>4</v>
      </c>
      <c r="F66" t="s">
        <v>945</v>
      </c>
    </row>
    <row r="67" spans="2:6" x14ac:dyDescent="0.25">
      <c r="B67">
        <v>624</v>
      </c>
      <c r="C67" t="s">
        <v>263</v>
      </c>
      <c r="D67">
        <v>537</v>
      </c>
      <c r="E67">
        <v>4</v>
      </c>
      <c r="F67" t="s">
        <v>945</v>
      </c>
    </row>
    <row r="68" spans="2:6" x14ac:dyDescent="0.25">
      <c r="B68">
        <v>538</v>
      </c>
      <c r="C68" t="s">
        <v>143</v>
      </c>
      <c r="D68">
        <v>488</v>
      </c>
      <c r="E68">
        <v>3</v>
      </c>
      <c r="F68" t="s">
        <v>943</v>
      </c>
    </row>
    <row r="69" spans="2:6" x14ac:dyDescent="0.25">
      <c r="B69">
        <v>625</v>
      </c>
      <c r="C69" t="s">
        <v>229</v>
      </c>
      <c r="D69">
        <v>538</v>
      </c>
      <c r="E69">
        <v>4</v>
      </c>
      <c r="F69" t="s">
        <v>945</v>
      </c>
    </row>
    <row r="70" spans="2:6" x14ac:dyDescent="0.25">
      <c r="B70">
        <v>626</v>
      </c>
      <c r="C70" t="s">
        <v>264</v>
      </c>
      <c r="D70">
        <v>538</v>
      </c>
      <c r="E70">
        <v>4</v>
      </c>
      <c r="F70" t="s">
        <v>945</v>
      </c>
    </row>
    <row r="71" spans="2:6" x14ac:dyDescent="0.25">
      <c r="B71">
        <v>627</v>
      </c>
      <c r="C71" t="s">
        <v>265</v>
      </c>
      <c r="D71">
        <v>538</v>
      </c>
      <c r="E71">
        <v>4</v>
      </c>
      <c r="F71" t="s">
        <v>945</v>
      </c>
    </row>
    <row r="72" spans="2:6" x14ac:dyDescent="0.25">
      <c r="B72">
        <v>628</v>
      </c>
      <c r="C72" t="s">
        <v>266</v>
      </c>
      <c r="D72">
        <v>538</v>
      </c>
      <c r="E72">
        <v>4</v>
      </c>
      <c r="F72" t="s">
        <v>945</v>
      </c>
    </row>
    <row r="73" spans="2:6" x14ac:dyDescent="0.25">
      <c r="B73">
        <v>539</v>
      </c>
      <c r="C73" t="s">
        <v>132</v>
      </c>
      <c r="D73">
        <v>488</v>
      </c>
      <c r="E73">
        <v>3</v>
      </c>
      <c r="F73" t="s">
        <v>943</v>
      </c>
    </row>
    <row r="74" spans="2:6" x14ac:dyDescent="0.25">
      <c r="B74">
        <v>629</v>
      </c>
      <c r="C74" t="s">
        <v>236</v>
      </c>
      <c r="D74">
        <v>539</v>
      </c>
      <c r="E74">
        <v>4</v>
      </c>
      <c r="F74" t="s">
        <v>945</v>
      </c>
    </row>
    <row r="75" spans="2:6" x14ac:dyDescent="0.25">
      <c r="B75">
        <v>630</v>
      </c>
      <c r="C75" t="s">
        <v>237</v>
      </c>
      <c r="D75">
        <v>539</v>
      </c>
      <c r="E75">
        <v>4</v>
      </c>
      <c r="F75" t="s">
        <v>945</v>
      </c>
    </row>
    <row r="76" spans="2:6" x14ac:dyDescent="0.25">
      <c r="B76">
        <v>489</v>
      </c>
      <c r="C76" t="s">
        <v>89</v>
      </c>
      <c r="D76">
        <v>480</v>
      </c>
      <c r="E76">
        <v>2</v>
      </c>
      <c r="F76" t="s">
        <v>943</v>
      </c>
    </row>
    <row r="77" spans="2:6" x14ac:dyDescent="0.25">
      <c r="B77">
        <v>540</v>
      </c>
      <c r="C77" t="s">
        <v>144</v>
      </c>
      <c r="D77">
        <v>489</v>
      </c>
      <c r="E77">
        <v>3</v>
      </c>
      <c r="F77" t="s">
        <v>943</v>
      </c>
    </row>
    <row r="78" spans="2:6" x14ac:dyDescent="0.25">
      <c r="B78">
        <v>631</v>
      </c>
      <c r="C78" t="s">
        <v>267</v>
      </c>
      <c r="D78">
        <v>540</v>
      </c>
      <c r="E78">
        <v>4</v>
      </c>
      <c r="F78" t="s">
        <v>945</v>
      </c>
    </row>
    <row r="79" spans="2:6" x14ac:dyDescent="0.25">
      <c r="B79">
        <v>632</v>
      </c>
      <c r="C79" t="s">
        <v>268</v>
      </c>
      <c r="D79">
        <v>540</v>
      </c>
      <c r="E79">
        <v>4</v>
      </c>
      <c r="F79" t="s">
        <v>945</v>
      </c>
    </row>
    <row r="80" spans="2:6" x14ac:dyDescent="0.25">
      <c r="B80">
        <v>633</v>
      </c>
      <c r="C80" t="s">
        <v>269</v>
      </c>
      <c r="D80">
        <v>540</v>
      </c>
      <c r="E80">
        <v>4</v>
      </c>
      <c r="F80" t="s">
        <v>945</v>
      </c>
    </row>
    <row r="81" spans="2:6" x14ac:dyDescent="0.25">
      <c r="B81">
        <v>634</v>
      </c>
      <c r="C81" t="s">
        <v>270</v>
      </c>
      <c r="D81">
        <v>540</v>
      </c>
      <c r="E81">
        <v>4</v>
      </c>
      <c r="F81" t="s">
        <v>945</v>
      </c>
    </row>
    <row r="82" spans="2:6" x14ac:dyDescent="0.25">
      <c r="B82">
        <v>490</v>
      </c>
      <c r="C82" t="s">
        <v>90</v>
      </c>
      <c r="D82">
        <v>480</v>
      </c>
      <c r="E82">
        <v>2</v>
      </c>
      <c r="F82" t="s">
        <v>943</v>
      </c>
    </row>
    <row r="83" spans="2:6" x14ac:dyDescent="0.25">
      <c r="B83">
        <v>541</v>
      </c>
      <c r="C83" t="s">
        <v>145</v>
      </c>
      <c r="D83">
        <v>490</v>
      </c>
      <c r="E83">
        <v>3</v>
      </c>
      <c r="F83" t="s">
        <v>943</v>
      </c>
    </row>
    <row r="84" spans="2:6" x14ac:dyDescent="0.25">
      <c r="B84">
        <v>635</v>
      </c>
      <c r="C84" t="s">
        <v>271</v>
      </c>
      <c r="D84">
        <v>541</v>
      </c>
      <c r="E84">
        <v>4</v>
      </c>
      <c r="F84" t="s">
        <v>945</v>
      </c>
    </row>
    <row r="85" spans="2:6" x14ac:dyDescent="0.25">
      <c r="B85">
        <v>636</v>
      </c>
      <c r="C85" t="s">
        <v>272</v>
      </c>
      <c r="D85">
        <v>541</v>
      </c>
      <c r="E85">
        <v>4</v>
      </c>
      <c r="F85" t="s">
        <v>945</v>
      </c>
    </row>
    <row r="86" spans="2:6" x14ac:dyDescent="0.25">
      <c r="B86">
        <v>637</v>
      </c>
      <c r="C86" t="s">
        <v>239</v>
      </c>
      <c r="D86">
        <v>541</v>
      </c>
      <c r="E86">
        <v>4</v>
      </c>
      <c r="F86" t="s">
        <v>945</v>
      </c>
    </row>
    <row r="87" spans="2:6" x14ac:dyDescent="0.25">
      <c r="B87">
        <v>638</v>
      </c>
      <c r="C87" t="s">
        <v>273</v>
      </c>
      <c r="D87">
        <v>541</v>
      </c>
      <c r="E87">
        <v>4</v>
      </c>
      <c r="F87" t="s">
        <v>945</v>
      </c>
    </row>
    <row r="88" spans="2:6" x14ac:dyDescent="0.25">
      <c r="B88">
        <v>542</v>
      </c>
      <c r="C88" t="s">
        <v>90</v>
      </c>
      <c r="D88">
        <v>490</v>
      </c>
      <c r="E88">
        <v>3</v>
      </c>
      <c r="F88" t="s">
        <v>943</v>
      </c>
    </row>
    <row r="89" spans="2:6" x14ac:dyDescent="0.25">
      <c r="B89">
        <v>639</v>
      </c>
      <c r="C89" t="s">
        <v>274</v>
      </c>
      <c r="D89">
        <v>542</v>
      </c>
      <c r="E89">
        <v>4</v>
      </c>
      <c r="F89" t="s">
        <v>945</v>
      </c>
    </row>
    <row r="90" spans="2:6" x14ac:dyDescent="0.25">
      <c r="B90">
        <v>640</v>
      </c>
      <c r="C90" t="s">
        <v>275</v>
      </c>
      <c r="D90">
        <v>542</v>
      </c>
      <c r="E90">
        <v>4</v>
      </c>
      <c r="F90" t="s">
        <v>945</v>
      </c>
    </row>
    <row r="91" spans="2:6" x14ac:dyDescent="0.25">
      <c r="B91">
        <v>641</v>
      </c>
      <c r="C91" t="s">
        <v>276</v>
      </c>
      <c r="D91">
        <v>542</v>
      </c>
      <c r="E91">
        <v>4</v>
      </c>
      <c r="F91" t="s">
        <v>945</v>
      </c>
    </row>
    <row r="92" spans="2:6" x14ac:dyDescent="0.25">
      <c r="B92">
        <v>642</v>
      </c>
      <c r="C92" t="s">
        <v>277</v>
      </c>
      <c r="D92">
        <v>542</v>
      </c>
      <c r="E92">
        <v>4</v>
      </c>
      <c r="F92" t="s">
        <v>945</v>
      </c>
    </row>
    <row r="93" spans="2:6" x14ac:dyDescent="0.25">
      <c r="B93">
        <v>643</v>
      </c>
      <c r="C93" t="s">
        <v>278</v>
      </c>
      <c r="D93">
        <v>542</v>
      </c>
      <c r="E93">
        <v>4</v>
      </c>
      <c r="F93" t="s">
        <v>945</v>
      </c>
    </row>
    <row r="94" spans="2:6" x14ac:dyDescent="0.25">
      <c r="B94">
        <v>644</v>
      </c>
      <c r="C94" t="s">
        <v>279</v>
      </c>
      <c r="D94">
        <v>542</v>
      </c>
      <c r="E94">
        <v>4</v>
      </c>
      <c r="F94" t="s">
        <v>945</v>
      </c>
    </row>
    <row r="95" spans="2:6" x14ac:dyDescent="0.25">
      <c r="B95">
        <v>543</v>
      </c>
      <c r="C95" t="s">
        <v>83</v>
      </c>
      <c r="D95">
        <v>490</v>
      </c>
      <c r="E95">
        <v>3</v>
      </c>
      <c r="F95" t="s">
        <v>943</v>
      </c>
    </row>
    <row r="96" spans="2:6" x14ac:dyDescent="0.25">
      <c r="B96">
        <v>645</v>
      </c>
      <c r="C96" t="s">
        <v>280</v>
      </c>
      <c r="D96">
        <v>543</v>
      </c>
      <c r="E96">
        <v>4</v>
      </c>
      <c r="F96" t="s">
        <v>945</v>
      </c>
    </row>
    <row r="97" spans="2:6" x14ac:dyDescent="0.25">
      <c r="B97">
        <v>491</v>
      </c>
      <c r="C97" t="s">
        <v>946</v>
      </c>
      <c r="D97">
        <v>480</v>
      </c>
      <c r="E97">
        <v>2</v>
      </c>
      <c r="F97" t="s">
        <v>943</v>
      </c>
    </row>
    <row r="98" spans="2:6" x14ac:dyDescent="0.25">
      <c r="B98">
        <v>544</v>
      </c>
      <c r="C98" t="s">
        <v>146</v>
      </c>
      <c r="D98">
        <v>491</v>
      </c>
      <c r="E98">
        <v>3</v>
      </c>
      <c r="F98" t="s">
        <v>943</v>
      </c>
    </row>
    <row r="99" spans="2:6" x14ac:dyDescent="0.25">
      <c r="B99">
        <v>646</v>
      </c>
      <c r="C99" t="s">
        <v>281</v>
      </c>
      <c r="D99">
        <v>544</v>
      </c>
      <c r="E99">
        <v>4</v>
      </c>
      <c r="F99" t="s">
        <v>945</v>
      </c>
    </row>
    <row r="100" spans="2:6" x14ac:dyDescent="0.25">
      <c r="B100">
        <v>647</v>
      </c>
      <c r="C100" t="s">
        <v>282</v>
      </c>
      <c r="D100">
        <v>544</v>
      </c>
      <c r="E100">
        <v>4</v>
      </c>
      <c r="F100" t="s">
        <v>945</v>
      </c>
    </row>
    <row r="101" spans="2:6" x14ac:dyDescent="0.25">
      <c r="B101">
        <v>648</v>
      </c>
      <c r="C101" t="s">
        <v>283</v>
      </c>
      <c r="D101">
        <v>544</v>
      </c>
      <c r="E101">
        <v>4</v>
      </c>
      <c r="F101" t="s">
        <v>945</v>
      </c>
    </row>
    <row r="102" spans="2:6" x14ac:dyDescent="0.25">
      <c r="B102">
        <v>545</v>
      </c>
      <c r="C102" t="s">
        <v>147</v>
      </c>
      <c r="D102">
        <v>491</v>
      </c>
      <c r="E102">
        <v>3</v>
      </c>
      <c r="F102" t="s">
        <v>943</v>
      </c>
    </row>
    <row r="103" spans="2:6" x14ac:dyDescent="0.25">
      <c r="B103">
        <v>649</v>
      </c>
      <c r="C103" t="s">
        <v>284</v>
      </c>
      <c r="D103">
        <v>545</v>
      </c>
      <c r="E103">
        <v>4</v>
      </c>
      <c r="F103" t="s">
        <v>945</v>
      </c>
    </row>
    <row r="104" spans="2:6" x14ac:dyDescent="0.25">
      <c r="B104">
        <v>650</v>
      </c>
      <c r="C104" t="s">
        <v>285</v>
      </c>
      <c r="D104">
        <v>545</v>
      </c>
      <c r="E104">
        <v>4</v>
      </c>
      <c r="F104" t="s">
        <v>945</v>
      </c>
    </row>
    <row r="105" spans="2:6" x14ac:dyDescent="0.25">
      <c r="B105">
        <v>651</v>
      </c>
      <c r="C105" t="s">
        <v>286</v>
      </c>
      <c r="D105">
        <v>545</v>
      </c>
      <c r="E105">
        <v>4</v>
      </c>
      <c r="F105" t="s">
        <v>945</v>
      </c>
    </row>
    <row r="106" spans="2:6" x14ac:dyDescent="0.25">
      <c r="B106">
        <v>652</v>
      </c>
      <c r="C106" t="s">
        <v>287</v>
      </c>
      <c r="D106">
        <v>545</v>
      </c>
      <c r="E106">
        <v>4</v>
      </c>
      <c r="F106" t="s">
        <v>945</v>
      </c>
    </row>
    <row r="107" spans="2:6" x14ac:dyDescent="0.25">
      <c r="B107">
        <v>653</v>
      </c>
      <c r="C107" t="s">
        <v>288</v>
      </c>
      <c r="D107">
        <v>545</v>
      </c>
      <c r="E107">
        <v>4</v>
      </c>
      <c r="F107" t="s">
        <v>945</v>
      </c>
    </row>
    <row r="108" spans="2:6" x14ac:dyDescent="0.25">
      <c r="B108">
        <v>654</v>
      </c>
      <c r="C108" t="s">
        <v>289</v>
      </c>
      <c r="D108">
        <v>545</v>
      </c>
      <c r="E108">
        <v>4</v>
      </c>
      <c r="F108" t="s">
        <v>945</v>
      </c>
    </row>
    <row r="109" spans="2:6" x14ac:dyDescent="0.25">
      <c r="B109">
        <v>655</v>
      </c>
      <c r="C109" t="s">
        <v>290</v>
      </c>
      <c r="D109">
        <v>545</v>
      </c>
      <c r="E109">
        <v>4</v>
      </c>
      <c r="F109" t="s">
        <v>945</v>
      </c>
    </row>
    <row r="110" spans="2:6" x14ac:dyDescent="0.25">
      <c r="B110">
        <v>546</v>
      </c>
      <c r="C110" t="s">
        <v>148</v>
      </c>
      <c r="D110">
        <v>491</v>
      </c>
      <c r="E110">
        <v>3</v>
      </c>
      <c r="F110" t="s">
        <v>943</v>
      </c>
    </row>
    <row r="111" spans="2:6" x14ac:dyDescent="0.25">
      <c r="B111">
        <v>656</v>
      </c>
      <c r="C111" t="s">
        <v>291</v>
      </c>
      <c r="D111">
        <v>546</v>
      </c>
      <c r="E111">
        <v>4</v>
      </c>
      <c r="F111" t="s">
        <v>945</v>
      </c>
    </row>
    <row r="112" spans="2:6" x14ac:dyDescent="0.25">
      <c r="B112">
        <v>657</v>
      </c>
      <c r="C112" t="s">
        <v>292</v>
      </c>
      <c r="D112">
        <v>546</v>
      </c>
      <c r="E112">
        <v>4</v>
      </c>
      <c r="F112" t="s">
        <v>945</v>
      </c>
    </row>
    <row r="113" spans="2:6" x14ac:dyDescent="0.25">
      <c r="B113">
        <v>658</v>
      </c>
      <c r="C113" t="s">
        <v>293</v>
      </c>
      <c r="D113">
        <v>546</v>
      </c>
      <c r="E113">
        <v>4</v>
      </c>
      <c r="F113" t="s">
        <v>945</v>
      </c>
    </row>
    <row r="114" spans="2:6" x14ac:dyDescent="0.25">
      <c r="B114">
        <v>659</v>
      </c>
      <c r="C114" t="s">
        <v>294</v>
      </c>
      <c r="D114">
        <v>546</v>
      </c>
      <c r="E114">
        <v>4</v>
      </c>
      <c r="F114" t="s">
        <v>945</v>
      </c>
    </row>
    <row r="115" spans="2:6" x14ac:dyDescent="0.25">
      <c r="B115">
        <v>660</v>
      </c>
      <c r="C115" t="s">
        <v>295</v>
      </c>
      <c r="D115">
        <v>546</v>
      </c>
      <c r="E115">
        <v>4</v>
      </c>
      <c r="F115" t="s">
        <v>945</v>
      </c>
    </row>
    <row r="116" spans="2:6" x14ac:dyDescent="0.25">
      <c r="B116">
        <v>492</v>
      </c>
      <c r="C116" t="s">
        <v>83</v>
      </c>
      <c r="D116">
        <v>480</v>
      </c>
      <c r="E116">
        <v>2</v>
      </c>
      <c r="F116" t="s">
        <v>943</v>
      </c>
    </row>
    <row r="117" spans="2:6" x14ac:dyDescent="0.25">
      <c r="B117">
        <v>547</v>
      </c>
      <c r="C117" t="s">
        <v>149</v>
      </c>
      <c r="D117">
        <v>492</v>
      </c>
      <c r="E117">
        <v>3</v>
      </c>
      <c r="F117" t="s">
        <v>943</v>
      </c>
    </row>
    <row r="118" spans="2:6" x14ac:dyDescent="0.25">
      <c r="B118">
        <v>661</v>
      </c>
      <c r="C118" t="s">
        <v>279</v>
      </c>
      <c r="D118">
        <v>547</v>
      </c>
      <c r="E118">
        <v>4</v>
      </c>
      <c r="F118" t="s">
        <v>945</v>
      </c>
    </row>
    <row r="119" spans="2:6" x14ac:dyDescent="0.25">
      <c r="B119">
        <v>662</v>
      </c>
      <c r="C119" t="s">
        <v>296</v>
      </c>
      <c r="D119">
        <v>547</v>
      </c>
      <c r="E119">
        <v>4</v>
      </c>
      <c r="F119" t="s">
        <v>945</v>
      </c>
    </row>
    <row r="120" spans="2:6" x14ac:dyDescent="0.25">
      <c r="B120">
        <v>663</v>
      </c>
      <c r="C120" t="s">
        <v>297</v>
      </c>
      <c r="D120">
        <v>547</v>
      </c>
      <c r="E120">
        <v>4</v>
      </c>
      <c r="F120" t="s">
        <v>945</v>
      </c>
    </row>
    <row r="121" spans="2:6" x14ac:dyDescent="0.25">
      <c r="B121">
        <v>548</v>
      </c>
      <c r="C121" t="s">
        <v>150</v>
      </c>
      <c r="D121">
        <v>492</v>
      </c>
      <c r="E121">
        <v>3</v>
      </c>
      <c r="F121" t="s">
        <v>943</v>
      </c>
    </row>
    <row r="122" spans="2:6" x14ac:dyDescent="0.25">
      <c r="B122">
        <v>664</v>
      </c>
      <c r="C122" t="s">
        <v>298</v>
      </c>
      <c r="D122">
        <v>548</v>
      </c>
      <c r="E122">
        <v>4</v>
      </c>
      <c r="F122" t="s">
        <v>945</v>
      </c>
    </row>
    <row r="123" spans="2:6" x14ac:dyDescent="0.25">
      <c r="B123">
        <v>665</v>
      </c>
      <c r="C123" t="s">
        <v>299</v>
      </c>
      <c r="D123">
        <v>548</v>
      </c>
      <c r="E123">
        <v>4</v>
      </c>
      <c r="F123" t="s">
        <v>945</v>
      </c>
    </row>
    <row r="124" spans="2:6" x14ac:dyDescent="0.25">
      <c r="B124">
        <v>549</v>
      </c>
      <c r="C124" t="s">
        <v>151</v>
      </c>
      <c r="D124">
        <v>492</v>
      </c>
      <c r="E124">
        <v>3</v>
      </c>
      <c r="F124" t="s">
        <v>943</v>
      </c>
    </row>
    <row r="125" spans="2:6" x14ac:dyDescent="0.25">
      <c r="B125">
        <v>666</v>
      </c>
      <c r="C125" t="s">
        <v>300</v>
      </c>
      <c r="D125">
        <v>549</v>
      </c>
      <c r="E125">
        <v>4</v>
      </c>
      <c r="F125" t="s">
        <v>945</v>
      </c>
    </row>
    <row r="126" spans="2:6" x14ac:dyDescent="0.25">
      <c r="B126">
        <v>667</v>
      </c>
      <c r="C126" t="s">
        <v>301</v>
      </c>
      <c r="D126">
        <v>549</v>
      </c>
      <c r="E126">
        <v>4</v>
      </c>
      <c r="F126" t="s">
        <v>945</v>
      </c>
    </row>
    <row r="127" spans="2:6" x14ac:dyDescent="0.25">
      <c r="B127">
        <v>550</v>
      </c>
      <c r="C127" t="s">
        <v>152</v>
      </c>
      <c r="D127">
        <v>492</v>
      </c>
      <c r="E127">
        <v>3</v>
      </c>
      <c r="F127" t="s">
        <v>943</v>
      </c>
    </row>
    <row r="128" spans="2:6" x14ac:dyDescent="0.25">
      <c r="B128">
        <v>668</v>
      </c>
      <c r="C128" t="s">
        <v>302</v>
      </c>
      <c r="D128">
        <v>550</v>
      </c>
      <c r="E128">
        <v>4</v>
      </c>
      <c r="F128" t="s">
        <v>945</v>
      </c>
    </row>
    <row r="129" spans="2:6" x14ac:dyDescent="0.25">
      <c r="B129">
        <v>669</v>
      </c>
      <c r="C129" t="s">
        <v>303</v>
      </c>
      <c r="D129">
        <v>550</v>
      </c>
      <c r="E129">
        <v>4</v>
      </c>
      <c r="F129" t="s">
        <v>945</v>
      </c>
    </row>
    <row r="130" spans="2:6" x14ac:dyDescent="0.25">
      <c r="B130">
        <v>493</v>
      </c>
      <c r="C130" t="s">
        <v>91</v>
      </c>
      <c r="D130">
        <v>480</v>
      </c>
      <c r="E130">
        <v>2</v>
      </c>
      <c r="F130" t="s">
        <v>945</v>
      </c>
    </row>
    <row r="131" spans="2:6" x14ac:dyDescent="0.25">
      <c r="B131">
        <v>481</v>
      </c>
      <c r="C131" t="s">
        <v>78</v>
      </c>
      <c r="D131">
        <v>479</v>
      </c>
      <c r="E131">
        <v>1</v>
      </c>
      <c r="F131" t="s">
        <v>943</v>
      </c>
    </row>
    <row r="132" spans="2:6" x14ac:dyDescent="0.25">
      <c r="B132">
        <v>494</v>
      </c>
      <c r="C132" t="s">
        <v>92</v>
      </c>
      <c r="D132">
        <v>481</v>
      </c>
      <c r="E132">
        <v>2</v>
      </c>
      <c r="F132" t="s">
        <v>943</v>
      </c>
    </row>
    <row r="133" spans="2:6" x14ac:dyDescent="0.25">
      <c r="B133">
        <v>552</v>
      </c>
      <c r="C133" t="s">
        <v>995</v>
      </c>
      <c r="D133">
        <v>494</v>
      </c>
      <c r="E133">
        <v>3</v>
      </c>
      <c r="F133" t="s">
        <v>945</v>
      </c>
    </row>
    <row r="134" spans="2:6" x14ac:dyDescent="0.25">
      <c r="B134">
        <v>553</v>
      </c>
      <c r="C134" t="s">
        <v>153</v>
      </c>
      <c r="D134">
        <v>494</v>
      </c>
      <c r="E134">
        <v>3</v>
      </c>
      <c r="F134" t="s">
        <v>945</v>
      </c>
    </row>
    <row r="135" spans="2:6" x14ac:dyDescent="0.25">
      <c r="B135">
        <v>554</v>
      </c>
      <c r="C135" t="s">
        <v>154</v>
      </c>
      <c r="D135">
        <v>494</v>
      </c>
      <c r="E135">
        <v>3</v>
      </c>
      <c r="F135" t="s">
        <v>945</v>
      </c>
    </row>
    <row r="136" spans="2:6" x14ac:dyDescent="0.25">
      <c r="B136">
        <v>756</v>
      </c>
      <c r="C136" t="s">
        <v>996</v>
      </c>
      <c r="D136">
        <v>494</v>
      </c>
      <c r="E136">
        <v>3</v>
      </c>
      <c r="F136" t="s">
        <v>945</v>
      </c>
    </row>
    <row r="137" spans="2:6" x14ac:dyDescent="0.25">
      <c r="B137">
        <v>495</v>
      </c>
      <c r="C137" t="s">
        <v>93</v>
      </c>
      <c r="D137">
        <v>481</v>
      </c>
      <c r="E137">
        <v>2</v>
      </c>
      <c r="F137" t="s">
        <v>943</v>
      </c>
    </row>
    <row r="138" spans="2:6" x14ac:dyDescent="0.25">
      <c r="B138">
        <v>555</v>
      </c>
      <c r="C138" t="s">
        <v>155</v>
      </c>
      <c r="D138">
        <v>495</v>
      </c>
      <c r="E138">
        <v>3</v>
      </c>
      <c r="F138" t="s">
        <v>945</v>
      </c>
    </row>
    <row r="139" spans="2:6" x14ac:dyDescent="0.25">
      <c r="B139">
        <v>556</v>
      </c>
      <c r="C139" t="s">
        <v>156</v>
      </c>
      <c r="D139">
        <v>495</v>
      </c>
      <c r="E139">
        <v>3</v>
      </c>
      <c r="F139" t="s">
        <v>945</v>
      </c>
    </row>
    <row r="140" spans="2:6" x14ac:dyDescent="0.25">
      <c r="B140">
        <v>557</v>
      </c>
      <c r="C140" t="s">
        <v>157</v>
      </c>
      <c r="D140">
        <v>495</v>
      </c>
      <c r="E140">
        <v>3</v>
      </c>
      <c r="F140" t="s">
        <v>945</v>
      </c>
    </row>
    <row r="141" spans="2:6" x14ac:dyDescent="0.25">
      <c r="B141">
        <v>496</v>
      </c>
      <c r="C141" t="s">
        <v>94</v>
      </c>
      <c r="D141">
        <v>481</v>
      </c>
      <c r="E141">
        <v>2</v>
      </c>
      <c r="F141" t="s">
        <v>943</v>
      </c>
    </row>
    <row r="142" spans="2:6" x14ac:dyDescent="0.25">
      <c r="B142">
        <v>558</v>
      </c>
      <c r="C142" t="s">
        <v>158</v>
      </c>
      <c r="D142">
        <v>496</v>
      </c>
      <c r="E142">
        <v>3</v>
      </c>
      <c r="F142" t="s">
        <v>945</v>
      </c>
    </row>
    <row r="143" spans="2:6" x14ac:dyDescent="0.25">
      <c r="B143">
        <v>559</v>
      </c>
      <c r="C143" t="s">
        <v>159</v>
      </c>
      <c r="D143">
        <v>496</v>
      </c>
      <c r="E143">
        <v>3</v>
      </c>
      <c r="F143" t="s">
        <v>945</v>
      </c>
    </row>
    <row r="144" spans="2:6" x14ac:dyDescent="0.25">
      <c r="B144">
        <v>497</v>
      </c>
      <c r="C144" t="s">
        <v>95</v>
      </c>
      <c r="D144">
        <v>481</v>
      </c>
      <c r="E144">
        <v>2</v>
      </c>
      <c r="F144" t="s">
        <v>945</v>
      </c>
    </row>
    <row r="145" spans="2:6" x14ac:dyDescent="0.25">
      <c r="B145">
        <v>760</v>
      </c>
      <c r="C145" t="s">
        <v>115</v>
      </c>
      <c r="D145">
        <v>481</v>
      </c>
      <c r="E145">
        <v>2</v>
      </c>
      <c r="F145" t="s">
        <v>945</v>
      </c>
    </row>
    <row r="146" spans="2:6" x14ac:dyDescent="0.25">
      <c r="B146">
        <v>761</v>
      </c>
      <c r="C146" t="s">
        <v>116</v>
      </c>
      <c r="D146">
        <v>481</v>
      </c>
      <c r="E146">
        <v>2</v>
      </c>
      <c r="F146" t="s">
        <v>945</v>
      </c>
    </row>
    <row r="147" spans="2:6" x14ac:dyDescent="0.25">
      <c r="B147">
        <v>482</v>
      </c>
      <c r="C147" t="s">
        <v>79</v>
      </c>
      <c r="D147">
        <v>479</v>
      </c>
      <c r="E147">
        <v>1</v>
      </c>
      <c r="F147" t="s">
        <v>943</v>
      </c>
    </row>
    <row r="148" spans="2:6" x14ac:dyDescent="0.25">
      <c r="B148">
        <v>498</v>
      </c>
      <c r="C148" t="s">
        <v>96</v>
      </c>
      <c r="D148">
        <v>482</v>
      </c>
      <c r="E148">
        <v>2</v>
      </c>
      <c r="F148" t="s">
        <v>943</v>
      </c>
    </row>
    <row r="149" spans="2:6" x14ac:dyDescent="0.25">
      <c r="B149">
        <v>560</v>
      </c>
      <c r="C149" t="s">
        <v>160</v>
      </c>
      <c r="D149">
        <v>498</v>
      </c>
      <c r="E149">
        <v>3</v>
      </c>
      <c r="F149" t="s">
        <v>943</v>
      </c>
    </row>
    <row r="150" spans="2:6" x14ac:dyDescent="0.25">
      <c r="B150">
        <v>672</v>
      </c>
      <c r="C150" t="s">
        <v>304</v>
      </c>
      <c r="D150">
        <v>560</v>
      </c>
      <c r="E150">
        <v>4</v>
      </c>
      <c r="F150" t="s">
        <v>945</v>
      </c>
    </row>
    <row r="151" spans="2:6" x14ac:dyDescent="0.25">
      <c r="B151">
        <v>673</v>
      </c>
      <c r="C151" t="s">
        <v>305</v>
      </c>
      <c r="D151">
        <v>560</v>
      </c>
      <c r="E151">
        <v>4</v>
      </c>
      <c r="F151" t="s">
        <v>945</v>
      </c>
    </row>
    <row r="152" spans="2:6" x14ac:dyDescent="0.25">
      <c r="B152">
        <v>674</v>
      </c>
      <c r="C152" t="s">
        <v>306</v>
      </c>
      <c r="D152">
        <v>560</v>
      </c>
      <c r="E152">
        <v>4</v>
      </c>
      <c r="F152" t="s">
        <v>945</v>
      </c>
    </row>
    <row r="153" spans="2:6" x14ac:dyDescent="0.25">
      <c r="B153">
        <v>675</v>
      </c>
      <c r="C153" t="s">
        <v>307</v>
      </c>
      <c r="D153">
        <v>560</v>
      </c>
      <c r="E153">
        <v>4</v>
      </c>
      <c r="F153" t="s">
        <v>945</v>
      </c>
    </row>
    <row r="154" spans="2:6" x14ac:dyDescent="0.25">
      <c r="B154">
        <v>561</v>
      </c>
      <c r="C154" t="s">
        <v>161</v>
      </c>
      <c r="D154">
        <v>498</v>
      </c>
      <c r="E154">
        <v>3</v>
      </c>
      <c r="F154" t="s">
        <v>943</v>
      </c>
    </row>
    <row r="155" spans="2:6" x14ac:dyDescent="0.25">
      <c r="B155">
        <v>676</v>
      </c>
      <c r="C155" t="s">
        <v>308</v>
      </c>
      <c r="D155">
        <v>561</v>
      </c>
      <c r="E155">
        <v>4</v>
      </c>
      <c r="F155" t="s">
        <v>945</v>
      </c>
    </row>
    <row r="156" spans="2:6" x14ac:dyDescent="0.25">
      <c r="B156">
        <v>677</v>
      </c>
      <c r="C156" t="s">
        <v>309</v>
      </c>
      <c r="D156">
        <v>561</v>
      </c>
      <c r="E156">
        <v>4</v>
      </c>
      <c r="F156" t="s">
        <v>945</v>
      </c>
    </row>
    <row r="157" spans="2:6" x14ac:dyDescent="0.25">
      <c r="B157">
        <v>499</v>
      </c>
      <c r="C157" t="s">
        <v>97</v>
      </c>
      <c r="D157">
        <v>482</v>
      </c>
      <c r="E157">
        <v>2</v>
      </c>
      <c r="F157" t="s">
        <v>943</v>
      </c>
    </row>
    <row r="158" spans="2:6" x14ac:dyDescent="0.25">
      <c r="B158">
        <v>562</v>
      </c>
      <c r="C158" t="s">
        <v>162</v>
      </c>
      <c r="D158">
        <v>499</v>
      </c>
      <c r="E158">
        <v>3</v>
      </c>
      <c r="F158" t="s">
        <v>943</v>
      </c>
    </row>
    <row r="159" spans="2:6" x14ac:dyDescent="0.25">
      <c r="B159">
        <v>678</v>
      </c>
      <c r="C159" t="s">
        <v>310</v>
      </c>
      <c r="D159">
        <v>562</v>
      </c>
      <c r="E159">
        <v>4</v>
      </c>
      <c r="F159" t="s">
        <v>945</v>
      </c>
    </row>
    <row r="160" spans="2:6" x14ac:dyDescent="0.25">
      <c r="B160">
        <v>679</v>
      </c>
      <c r="C160" t="s">
        <v>311</v>
      </c>
      <c r="D160">
        <v>562</v>
      </c>
      <c r="E160">
        <v>4</v>
      </c>
      <c r="F160" t="s">
        <v>945</v>
      </c>
    </row>
    <row r="161" spans="2:6" x14ac:dyDescent="0.25">
      <c r="B161">
        <v>680</v>
      </c>
      <c r="C161" t="s">
        <v>312</v>
      </c>
      <c r="D161">
        <v>562</v>
      </c>
      <c r="E161">
        <v>4</v>
      </c>
      <c r="F161" t="s">
        <v>945</v>
      </c>
    </row>
    <row r="162" spans="2:6" x14ac:dyDescent="0.25">
      <c r="B162">
        <v>500</v>
      </c>
      <c r="C162" t="s">
        <v>91</v>
      </c>
      <c r="D162">
        <v>482</v>
      </c>
      <c r="E162">
        <v>2</v>
      </c>
      <c r="F162" t="s">
        <v>945</v>
      </c>
    </row>
    <row r="163" spans="2:6" x14ac:dyDescent="0.25">
      <c r="B163">
        <v>483</v>
      </c>
      <c r="C163" t="s">
        <v>80</v>
      </c>
      <c r="D163">
        <v>479</v>
      </c>
      <c r="E163">
        <v>1</v>
      </c>
      <c r="F163" t="s">
        <v>943</v>
      </c>
    </row>
    <row r="164" spans="2:6" x14ac:dyDescent="0.25">
      <c r="B164">
        <v>501</v>
      </c>
      <c r="C164" t="s">
        <v>98</v>
      </c>
      <c r="D164">
        <v>483</v>
      </c>
      <c r="E164">
        <v>2</v>
      </c>
      <c r="F164" t="s">
        <v>943</v>
      </c>
    </row>
    <row r="165" spans="2:6" x14ac:dyDescent="0.25">
      <c r="B165">
        <v>563</v>
      </c>
      <c r="C165" t="s">
        <v>163</v>
      </c>
      <c r="D165">
        <v>501</v>
      </c>
      <c r="E165">
        <v>3</v>
      </c>
      <c r="F165" t="s">
        <v>943</v>
      </c>
    </row>
    <row r="166" spans="2:6" x14ac:dyDescent="0.25">
      <c r="B166">
        <v>681</v>
      </c>
      <c r="C166" t="s">
        <v>313</v>
      </c>
      <c r="D166">
        <v>563</v>
      </c>
      <c r="E166">
        <v>4</v>
      </c>
      <c r="F166" t="s">
        <v>945</v>
      </c>
    </row>
    <row r="167" spans="2:6" x14ac:dyDescent="0.25">
      <c r="B167">
        <v>682</v>
      </c>
      <c r="C167" t="s">
        <v>957</v>
      </c>
      <c r="D167">
        <v>563</v>
      </c>
      <c r="E167">
        <v>4</v>
      </c>
      <c r="F167" t="s">
        <v>945</v>
      </c>
    </row>
    <row r="168" spans="2:6" x14ac:dyDescent="0.25">
      <c r="B168">
        <v>683</v>
      </c>
      <c r="C168" t="s">
        <v>314</v>
      </c>
      <c r="D168">
        <v>563</v>
      </c>
      <c r="E168">
        <v>4</v>
      </c>
      <c r="F168" t="s">
        <v>945</v>
      </c>
    </row>
    <row r="169" spans="2:6" x14ac:dyDescent="0.25">
      <c r="B169">
        <v>564</v>
      </c>
      <c r="C169" t="s">
        <v>164</v>
      </c>
      <c r="D169">
        <v>501</v>
      </c>
      <c r="E169">
        <v>3</v>
      </c>
      <c r="F169" t="s">
        <v>943</v>
      </c>
    </row>
    <row r="170" spans="2:6" x14ac:dyDescent="0.25">
      <c r="B170">
        <v>684</v>
      </c>
      <c r="C170" t="s">
        <v>313</v>
      </c>
      <c r="D170">
        <v>564</v>
      </c>
      <c r="E170">
        <v>4</v>
      </c>
      <c r="F170" t="s">
        <v>945</v>
      </c>
    </row>
    <row r="171" spans="2:6" x14ac:dyDescent="0.25">
      <c r="B171">
        <v>685</v>
      </c>
      <c r="C171" t="s">
        <v>315</v>
      </c>
      <c r="D171">
        <v>564</v>
      </c>
      <c r="E171">
        <v>4</v>
      </c>
      <c r="F171" t="s">
        <v>945</v>
      </c>
    </row>
    <row r="172" spans="2:6" x14ac:dyDescent="0.25">
      <c r="B172">
        <v>686</v>
      </c>
      <c r="C172" t="s">
        <v>316</v>
      </c>
      <c r="D172">
        <v>564</v>
      </c>
      <c r="E172">
        <v>4</v>
      </c>
      <c r="F172" t="s">
        <v>945</v>
      </c>
    </row>
    <row r="173" spans="2:6" x14ac:dyDescent="0.25">
      <c r="B173">
        <v>687</v>
      </c>
      <c r="C173" t="s">
        <v>957</v>
      </c>
      <c r="D173">
        <v>564</v>
      </c>
      <c r="E173">
        <v>4</v>
      </c>
      <c r="F173" t="s">
        <v>945</v>
      </c>
    </row>
    <row r="174" spans="2:6" x14ac:dyDescent="0.25">
      <c r="B174">
        <v>688</v>
      </c>
      <c r="C174" t="s">
        <v>317</v>
      </c>
      <c r="D174">
        <v>564</v>
      </c>
      <c r="E174">
        <v>4</v>
      </c>
      <c r="F174" t="s">
        <v>945</v>
      </c>
    </row>
    <row r="175" spans="2:6" x14ac:dyDescent="0.25">
      <c r="B175">
        <v>689</v>
      </c>
      <c r="C175" t="s">
        <v>318</v>
      </c>
      <c r="D175">
        <v>564</v>
      </c>
      <c r="E175">
        <v>4</v>
      </c>
      <c r="F175" t="s">
        <v>945</v>
      </c>
    </row>
    <row r="176" spans="2:6" x14ac:dyDescent="0.25">
      <c r="B176">
        <v>690</v>
      </c>
      <c r="C176" t="s">
        <v>319</v>
      </c>
      <c r="D176">
        <v>564</v>
      </c>
      <c r="E176">
        <v>4</v>
      </c>
      <c r="F176" t="s">
        <v>945</v>
      </c>
    </row>
    <row r="177" spans="2:6" x14ac:dyDescent="0.25">
      <c r="B177">
        <v>565</v>
      </c>
      <c r="C177" t="s">
        <v>165</v>
      </c>
      <c r="D177">
        <v>501</v>
      </c>
      <c r="E177">
        <v>3</v>
      </c>
      <c r="F177" t="s">
        <v>943</v>
      </c>
    </row>
    <row r="178" spans="2:6" x14ac:dyDescent="0.25">
      <c r="B178">
        <v>691</v>
      </c>
      <c r="C178" t="s">
        <v>315</v>
      </c>
      <c r="D178">
        <v>565</v>
      </c>
      <c r="E178">
        <v>4</v>
      </c>
      <c r="F178" t="s">
        <v>945</v>
      </c>
    </row>
    <row r="179" spans="2:6" x14ac:dyDescent="0.25">
      <c r="B179">
        <v>692</v>
      </c>
      <c r="C179" t="s">
        <v>316</v>
      </c>
      <c r="D179">
        <v>565</v>
      </c>
      <c r="E179">
        <v>4</v>
      </c>
      <c r="F179" t="s">
        <v>945</v>
      </c>
    </row>
    <row r="180" spans="2:6" x14ac:dyDescent="0.25">
      <c r="B180">
        <v>566</v>
      </c>
      <c r="C180" t="s">
        <v>166</v>
      </c>
      <c r="D180">
        <v>501</v>
      </c>
      <c r="E180">
        <v>3</v>
      </c>
      <c r="F180" t="s">
        <v>943</v>
      </c>
    </row>
    <row r="181" spans="2:6" x14ac:dyDescent="0.25">
      <c r="B181">
        <v>693</v>
      </c>
      <c r="C181" t="s">
        <v>320</v>
      </c>
      <c r="D181">
        <v>566</v>
      </c>
      <c r="E181">
        <v>4</v>
      </c>
      <c r="F181" t="s">
        <v>945</v>
      </c>
    </row>
    <row r="182" spans="2:6" x14ac:dyDescent="0.25">
      <c r="B182">
        <v>567</v>
      </c>
      <c r="C182" t="s">
        <v>121</v>
      </c>
      <c r="D182">
        <v>501</v>
      </c>
      <c r="E182">
        <v>3</v>
      </c>
      <c r="F182" t="s">
        <v>943</v>
      </c>
    </row>
    <row r="183" spans="2:6" x14ac:dyDescent="0.25">
      <c r="B183">
        <v>694</v>
      </c>
      <c r="C183" t="s">
        <v>321</v>
      </c>
      <c r="D183">
        <v>567</v>
      </c>
      <c r="E183">
        <v>4</v>
      </c>
      <c r="F183" t="s">
        <v>945</v>
      </c>
    </row>
    <row r="184" spans="2:6" x14ac:dyDescent="0.25">
      <c r="B184">
        <v>502</v>
      </c>
      <c r="C184" t="s">
        <v>99</v>
      </c>
      <c r="D184">
        <v>483</v>
      </c>
      <c r="E184">
        <v>2</v>
      </c>
      <c r="F184" t="s">
        <v>943</v>
      </c>
    </row>
    <row r="185" spans="2:6" x14ac:dyDescent="0.25">
      <c r="B185">
        <v>568</v>
      </c>
      <c r="C185" t="s">
        <v>167</v>
      </c>
      <c r="D185">
        <v>502</v>
      </c>
      <c r="E185">
        <v>3</v>
      </c>
      <c r="F185" t="s">
        <v>943</v>
      </c>
    </row>
    <row r="186" spans="2:6" x14ac:dyDescent="0.25">
      <c r="B186">
        <v>695</v>
      </c>
      <c r="C186" t="s">
        <v>322</v>
      </c>
      <c r="D186">
        <v>568</v>
      </c>
      <c r="E186">
        <v>4</v>
      </c>
      <c r="F186" t="s">
        <v>945</v>
      </c>
    </row>
    <row r="187" spans="2:6" x14ac:dyDescent="0.25">
      <c r="B187">
        <v>696</v>
      </c>
      <c r="C187" t="s">
        <v>323</v>
      </c>
      <c r="D187">
        <v>568</v>
      </c>
      <c r="E187">
        <v>4</v>
      </c>
      <c r="F187" t="s">
        <v>945</v>
      </c>
    </row>
    <row r="188" spans="2:6" x14ac:dyDescent="0.25">
      <c r="B188">
        <v>697</v>
      </c>
      <c r="C188" t="s">
        <v>324</v>
      </c>
      <c r="D188">
        <v>568</v>
      </c>
      <c r="E188">
        <v>4</v>
      </c>
      <c r="F188" t="s">
        <v>945</v>
      </c>
    </row>
    <row r="189" spans="2:6" x14ac:dyDescent="0.25">
      <c r="B189">
        <v>698</v>
      </c>
      <c r="C189" t="s">
        <v>325</v>
      </c>
      <c r="D189">
        <v>568</v>
      </c>
      <c r="E189">
        <v>4</v>
      </c>
      <c r="F189" t="s">
        <v>945</v>
      </c>
    </row>
    <row r="190" spans="2:6" x14ac:dyDescent="0.25">
      <c r="B190">
        <v>569</v>
      </c>
      <c r="C190" t="s">
        <v>168</v>
      </c>
      <c r="D190">
        <v>502</v>
      </c>
      <c r="E190">
        <v>3</v>
      </c>
      <c r="F190" t="s">
        <v>943</v>
      </c>
    </row>
    <row r="191" spans="2:6" x14ac:dyDescent="0.25">
      <c r="B191">
        <v>699</v>
      </c>
      <c r="C191" t="s">
        <v>326</v>
      </c>
      <c r="D191">
        <v>569</v>
      </c>
      <c r="E191">
        <v>4</v>
      </c>
      <c r="F191" t="s">
        <v>945</v>
      </c>
    </row>
    <row r="192" spans="2:6" x14ac:dyDescent="0.25">
      <c r="B192">
        <v>700</v>
      </c>
      <c r="C192" t="s">
        <v>327</v>
      </c>
      <c r="D192">
        <v>569</v>
      </c>
      <c r="E192">
        <v>4</v>
      </c>
      <c r="F192" t="s">
        <v>945</v>
      </c>
    </row>
    <row r="193" spans="2:6" x14ac:dyDescent="0.25">
      <c r="B193">
        <v>701</v>
      </c>
      <c r="C193" t="s">
        <v>328</v>
      </c>
      <c r="D193">
        <v>569</v>
      </c>
      <c r="E193">
        <v>4</v>
      </c>
      <c r="F193" t="s">
        <v>945</v>
      </c>
    </row>
    <row r="194" spans="2:6" x14ac:dyDescent="0.25">
      <c r="B194">
        <v>702</v>
      </c>
      <c r="C194" t="s">
        <v>329</v>
      </c>
      <c r="D194">
        <v>569</v>
      </c>
      <c r="E194">
        <v>4</v>
      </c>
      <c r="F194" t="s">
        <v>945</v>
      </c>
    </row>
    <row r="195" spans="2:6" x14ac:dyDescent="0.25">
      <c r="B195">
        <v>503</v>
      </c>
      <c r="C195" t="s">
        <v>91</v>
      </c>
      <c r="D195">
        <v>483</v>
      </c>
      <c r="E195">
        <v>2</v>
      </c>
      <c r="F195" t="s">
        <v>945</v>
      </c>
    </row>
    <row r="196" spans="2:6" x14ac:dyDescent="0.25">
      <c r="B196">
        <v>484</v>
      </c>
      <c r="C196" t="s">
        <v>944</v>
      </c>
      <c r="D196">
        <v>479</v>
      </c>
      <c r="E196">
        <v>1</v>
      </c>
      <c r="F196" t="s">
        <v>943</v>
      </c>
    </row>
    <row r="197" spans="2:6" x14ac:dyDescent="0.25">
      <c r="B197">
        <v>504</v>
      </c>
      <c r="C197" t="s">
        <v>100</v>
      </c>
      <c r="D197">
        <v>484</v>
      </c>
      <c r="E197">
        <v>2</v>
      </c>
      <c r="F197" t="s">
        <v>943</v>
      </c>
    </row>
    <row r="198" spans="2:6" x14ac:dyDescent="0.25">
      <c r="B198">
        <v>570</v>
      </c>
      <c r="C198" t="s">
        <v>169</v>
      </c>
      <c r="D198">
        <v>504</v>
      </c>
      <c r="E198">
        <v>3</v>
      </c>
      <c r="F198" t="s">
        <v>943</v>
      </c>
    </row>
    <row r="199" spans="2:6" x14ac:dyDescent="0.25">
      <c r="B199">
        <v>703</v>
      </c>
      <c r="C199" t="s">
        <v>330</v>
      </c>
      <c r="D199">
        <v>570</v>
      </c>
      <c r="E199">
        <v>4</v>
      </c>
      <c r="F199" t="s">
        <v>945</v>
      </c>
    </row>
    <row r="200" spans="2:6" x14ac:dyDescent="0.25">
      <c r="B200">
        <v>505</v>
      </c>
      <c r="C200" t="s">
        <v>101</v>
      </c>
      <c r="D200">
        <v>484</v>
      </c>
      <c r="E200">
        <v>2</v>
      </c>
      <c r="F200" t="s">
        <v>943</v>
      </c>
    </row>
    <row r="201" spans="2:6" x14ac:dyDescent="0.25">
      <c r="B201">
        <v>571</v>
      </c>
      <c r="C201" t="s">
        <v>170</v>
      </c>
      <c r="D201">
        <v>505</v>
      </c>
      <c r="E201">
        <v>3</v>
      </c>
      <c r="F201" t="s">
        <v>943</v>
      </c>
    </row>
    <row r="202" spans="2:6" x14ac:dyDescent="0.25">
      <c r="B202">
        <v>705</v>
      </c>
      <c r="C202" t="s">
        <v>331</v>
      </c>
      <c r="D202">
        <v>571</v>
      </c>
      <c r="E202">
        <v>4</v>
      </c>
      <c r="F202" t="s">
        <v>945</v>
      </c>
    </row>
    <row r="203" spans="2:6" x14ac:dyDescent="0.25">
      <c r="B203">
        <v>762</v>
      </c>
      <c r="C203" t="s">
        <v>346</v>
      </c>
      <c r="D203">
        <v>571</v>
      </c>
      <c r="E203">
        <v>4</v>
      </c>
      <c r="F203" t="s">
        <v>945</v>
      </c>
    </row>
    <row r="204" spans="2:6" x14ac:dyDescent="0.25">
      <c r="B204">
        <v>763</v>
      </c>
      <c r="C204" t="s">
        <v>347</v>
      </c>
      <c r="D204">
        <v>571</v>
      </c>
      <c r="E204">
        <v>4</v>
      </c>
      <c r="F204" t="s">
        <v>945</v>
      </c>
    </row>
    <row r="205" spans="2:6" x14ac:dyDescent="0.25">
      <c r="B205">
        <v>883</v>
      </c>
      <c r="C205" t="s">
        <v>911</v>
      </c>
      <c r="D205">
        <v>571</v>
      </c>
      <c r="E205">
        <v>4</v>
      </c>
      <c r="F205" t="s">
        <v>945</v>
      </c>
    </row>
    <row r="206" spans="2:6" x14ac:dyDescent="0.25">
      <c r="B206">
        <v>884</v>
      </c>
      <c r="C206" t="s">
        <v>912</v>
      </c>
      <c r="D206">
        <v>571</v>
      </c>
      <c r="E206">
        <v>4</v>
      </c>
      <c r="F206" t="s">
        <v>945</v>
      </c>
    </row>
    <row r="207" spans="2:6" x14ac:dyDescent="0.25">
      <c r="B207">
        <v>572</v>
      </c>
      <c r="C207" t="s">
        <v>997</v>
      </c>
      <c r="D207">
        <v>505</v>
      </c>
      <c r="E207">
        <v>3</v>
      </c>
      <c r="F207" t="s">
        <v>943</v>
      </c>
    </row>
    <row r="208" spans="2:6" x14ac:dyDescent="0.25">
      <c r="B208">
        <v>946</v>
      </c>
      <c r="C208" t="s">
        <v>913</v>
      </c>
      <c r="D208">
        <v>572</v>
      </c>
      <c r="E208">
        <v>4</v>
      </c>
      <c r="F208" t="s">
        <v>945</v>
      </c>
    </row>
    <row r="209" spans="2:6" x14ac:dyDescent="0.25">
      <c r="B209">
        <v>947</v>
      </c>
      <c r="C209" t="s">
        <v>914</v>
      </c>
      <c r="D209">
        <v>572</v>
      </c>
      <c r="E209">
        <v>4</v>
      </c>
      <c r="F209" t="s">
        <v>945</v>
      </c>
    </row>
    <row r="210" spans="2:6" x14ac:dyDescent="0.25">
      <c r="B210">
        <v>948</v>
      </c>
      <c r="C210" t="s">
        <v>915</v>
      </c>
      <c r="D210">
        <v>572</v>
      </c>
      <c r="E210">
        <v>4</v>
      </c>
      <c r="F210" t="s">
        <v>945</v>
      </c>
    </row>
    <row r="211" spans="2:6" x14ac:dyDescent="0.25">
      <c r="B211">
        <v>949</v>
      </c>
      <c r="C211" t="s">
        <v>916</v>
      </c>
      <c r="D211">
        <v>572</v>
      </c>
      <c r="E211">
        <v>4</v>
      </c>
      <c r="F211" t="s">
        <v>945</v>
      </c>
    </row>
    <row r="212" spans="2:6" x14ac:dyDescent="0.25">
      <c r="B212">
        <v>506</v>
      </c>
      <c r="C212" t="s">
        <v>102</v>
      </c>
      <c r="D212">
        <v>484</v>
      </c>
      <c r="E212">
        <v>2</v>
      </c>
      <c r="F212" t="s">
        <v>943</v>
      </c>
    </row>
    <row r="213" spans="2:6" x14ac:dyDescent="0.25">
      <c r="B213">
        <v>573</v>
      </c>
      <c r="C213" t="s">
        <v>171</v>
      </c>
      <c r="D213">
        <v>506</v>
      </c>
      <c r="E213">
        <v>3</v>
      </c>
      <c r="F213" t="s">
        <v>943</v>
      </c>
    </row>
    <row r="214" spans="2:6" x14ac:dyDescent="0.25">
      <c r="B214">
        <v>707</v>
      </c>
      <c r="C214" t="s">
        <v>332</v>
      </c>
      <c r="D214">
        <v>573</v>
      </c>
      <c r="E214">
        <v>4</v>
      </c>
      <c r="F214" t="s">
        <v>945</v>
      </c>
    </row>
    <row r="215" spans="2:6" x14ac:dyDescent="0.25">
      <c r="B215">
        <v>708</v>
      </c>
      <c r="C215" t="s">
        <v>333</v>
      </c>
      <c r="D215">
        <v>573</v>
      </c>
      <c r="E215">
        <v>4</v>
      </c>
      <c r="F215" t="s">
        <v>945</v>
      </c>
    </row>
    <row r="216" spans="2:6" x14ac:dyDescent="0.25">
      <c r="B216">
        <v>709</v>
      </c>
      <c r="C216" t="s">
        <v>334</v>
      </c>
      <c r="D216">
        <v>573</v>
      </c>
      <c r="E216">
        <v>4</v>
      </c>
      <c r="F216" t="s">
        <v>945</v>
      </c>
    </row>
    <row r="217" spans="2:6" x14ac:dyDescent="0.25">
      <c r="B217">
        <v>764</v>
      </c>
      <c r="C217" t="s">
        <v>348</v>
      </c>
      <c r="D217">
        <v>573</v>
      </c>
      <c r="E217">
        <v>4</v>
      </c>
      <c r="F217" t="s">
        <v>945</v>
      </c>
    </row>
    <row r="218" spans="2:6" x14ac:dyDescent="0.25">
      <c r="B218">
        <v>507</v>
      </c>
      <c r="C218" t="s">
        <v>998</v>
      </c>
      <c r="D218">
        <v>484</v>
      </c>
      <c r="E218">
        <v>2</v>
      </c>
      <c r="F218" t="s">
        <v>943</v>
      </c>
    </row>
    <row r="219" spans="2:6" x14ac:dyDescent="0.25">
      <c r="B219">
        <v>574</v>
      </c>
      <c r="C219" t="s">
        <v>999</v>
      </c>
      <c r="D219">
        <v>507</v>
      </c>
      <c r="E219">
        <v>3</v>
      </c>
      <c r="F219" t="s">
        <v>945</v>
      </c>
    </row>
    <row r="220" spans="2:6" x14ac:dyDescent="0.25">
      <c r="B220">
        <v>858</v>
      </c>
      <c r="C220" t="s">
        <v>1000</v>
      </c>
      <c r="D220">
        <v>507</v>
      </c>
      <c r="E220">
        <v>3</v>
      </c>
      <c r="F220" t="s">
        <v>945</v>
      </c>
    </row>
    <row r="221" spans="2:6" x14ac:dyDescent="0.25">
      <c r="B221">
        <v>766</v>
      </c>
      <c r="C221" t="s">
        <v>1001</v>
      </c>
      <c r="D221">
        <v>507</v>
      </c>
      <c r="E221">
        <v>3</v>
      </c>
      <c r="F221" t="s">
        <v>945</v>
      </c>
    </row>
    <row r="222" spans="2:6" x14ac:dyDescent="0.25">
      <c r="B222">
        <v>508</v>
      </c>
      <c r="C222" t="s">
        <v>103</v>
      </c>
      <c r="D222">
        <v>484</v>
      </c>
      <c r="E222">
        <v>2</v>
      </c>
      <c r="F222" t="s">
        <v>943</v>
      </c>
    </row>
    <row r="223" spans="2:6" x14ac:dyDescent="0.25">
      <c r="B223">
        <v>711</v>
      </c>
      <c r="C223" t="s">
        <v>177</v>
      </c>
      <c r="D223">
        <v>508</v>
      </c>
      <c r="E223">
        <v>3</v>
      </c>
      <c r="F223" t="s">
        <v>945</v>
      </c>
    </row>
    <row r="224" spans="2:6" x14ac:dyDescent="0.25">
      <c r="B224">
        <v>712</v>
      </c>
      <c r="C224" t="s">
        <v>178</v>
      </c>
      <c r="D224">
        <v>508</v>
      </c>
      <c r="E224">
        <v>3</v>
      </c>
      <c r="F224" t="s">
        <v>945</v>
      </c>
    </row>
    <row r="225" spans="2:6" x14ac:dyDescent="0.25">
      <c r="B225">
        <v>772</v>
      </c>
      <c r="C225" t="s">
        <v>204</v>
      </c>
      <c r="D225">
        <v>508</v>
      </c>
      <c r="E225">
        <v>3</v>
      </c>
      <c r="F225" t="s">
        <v>945</v>
      </c>
    </row>
    <row r="226" spans="2:6" x14ac:dyDescent="0.25">
      <c r="B226">
        <v>509</v>
      </c>
      <c r="C226" t="s">
        <v>104</v>
      </c>
      <c r="D226">
        <v>484</v>
      </c>
      <c r="E226">
        <v>2</v>
      </c>
      <c r="F226" t="s">
        <v>943</v>
      </c>
    </row>
    <row r="227" spans="2:6" x14ac:dyDescent="0.25">
      <c r="B227">
        <v>713</v>
      </c>
      <c r="C227" t="s">
        <v>179</v>
      </c>
      <c r="D227">
        <v>509</v>
      </c>
      <c r="E227">
        <v>3</v>
      </c>
      <c r="F227" t="s">
        <v>945</v>
      </c>
    </row>
    <row r="228" spans="2:6" x14ac:dyDescent="0.25">
      <c r="B228">
        <v>714</v>
      </c>
      <c r="C228" t="s">
        <v>180</v>
      </c>
      <c r="D228">
        <v>509</v>
      </c>
      <c r="E228">
        <v>3</v>
      </c>
      <c r="F228" t="s">
        <v>945</v>
      </c>
    </row>
    <row r="229" spans="2:6" x14ac:dyDescent="0.25">
      <c r="B229">
        <v>715</v>
      </c>
      <c r="C229" t="s">
        <v>181</v>
      </c>
      <c r="D229">
        <v>509</v>
      </c>
      <c r="E229">
        <v>3</v>
      </c>
      <c r="F229" t="s">
        <v>945</v>
      </c>
    </row>
    <row r="230" spans="2:6" x14ac:dyDescent="0.25">
      <c r="B230">
        <v>510</v>
      </c>
      <c r="C230" t="s">
        <v>105</v>
      </c>
      <c r="D230">
        <v>484</v>
      </c>
      <c r="E230">
        <v>2</v>
      </c>
      <c r="F230" t="s">
        <v>943</v>
      </c>
    </row>
    <row r="231" spans="2:6" x14ac:dyDescent="0.25">
      <c r="B231">
        <v>716</v>
      </c>
      <c r="C231" t="s">
        <v>182</v>
      </c>
      <c r="D231">
        <v>510</v>
      </c>
      <c r="E231">
        <v>3</v>
      </c>
      <c r="F231" t="s">
        <v>945</v>
      </c>
    </row>
    <row r="232" spans="2:6" x14ac:dyDescent="0.25">
      <c r="B232">
        <v>717</v>
      </c>
      <c r="C232" t="s">
        <v>183</v>
      </c>
      <c r="D232">
        <v>510</v>
      </c>
      <c r="E232">
        <v>3</v>
      </c>
      <c r="F232" t="s">
        <v>945</v>
      </c>
    </row>
    <row r="233" spans="2:6" x14ac:dyDescent="0.25">
      <c r="B233">
        <v>718</v>
      </c>
      <c r="C233" t="s">
        <v>184</v>
      </c>
      <c r="D233">
        <v>510</v>
      </c>
      <c r="E233">
        <v>3</v>
      </c>
      <c r="F233" t="s">
        <v>945</v>
      </c>
    </row>
    <row r="234" spans="2:6" x14ac:dyDescent="0.25">
      <c r="B234">
        <v>719</v>
      </c>
      <c r="C234" t="s">
        <v>185</v>
      </c>
      <c r="D234">
        <v>510</v>
      </c>
      <c r="E234">
        <v>3</v>
      </c>
      <c r="F234" t="s">
        <v>945</v>
      </c>
    </row>
    <row r="235" spans="2:6" x14ac:dyDescent="0.25">
      <c r="B235">
        <v>511</v>
      </c>
      <c r="C235" t="s">
        <v>106</v>
      </c>
      <c r="D235">
        <v>484</v>
      </c>
      <c r="E235">
        <v>2</v>
      </c>
      <c r="F235" t="s">
        <v>943</v>
      </c>
    </row>
    <row r="236" spans="2:6" x14ac:dyDescent="0.25">
      <c r="B236">
        <v>720</v>
      </c>
      <c r="C236" t="s">
        <v>186</v>
      </c>
      <c r="D236">
        <v>511</v>
      </c>
      <c r="E236">
        <v>3</v>
      </c>
      <c r="F236" t="s">
        <v>945</v>
      </c>
    </row>
    <row r="237" spans="2:6" x14ac:dyDescent="0.25">
      <c r="B237">
        <v>721</v>
      </c>
      <c r="C237" t="s">
        <v>187</v>
      </c>
      <c r="D237">
        <v>511</v>
      </c>
      <c r="E237">
        <v>3</v>
      </c>
      <c r="F237" t="s">
        <v>945</v>
      </c>
    </row>
    <row r="238" spans="2:6" x14ac:dyDescent="0.25">
      <c r="B238">
        <v>722</v>
      </c>
      <c r="C238" t="s">
        <v>188</v>
      </c>
      <c r="D238">
        <v>511</v>
      </c>
      <c r="E238">
        <v>3</v>
      </c>
      <c r="F238" t="s">
        <v>945</v>
      </c>
    </row>
    <row r="239" spans="2:6" x14ac:dyDescent="0.25">
      <c r="B239">
        <v>512</v>
      </c>
      <c r="C239" t="s">
        <v>107</v>
      </c>
      <c r="D239">
        <v>484</v>
      </c>
      <c r="E239">
        <v>2</v>
      </c>
      <c r="F239" t="s">
        <v>943</v>
      </c>
    </row>
    <row r="240" spans="2:6" x14ac:dyDescent="0.25">
      <c r="B240">
        <v>723</v>
      </c>
      <c r="C240" t="s">
        <v>189</v>
      </c>
      <c r="D240">
        <v>512</v>
      </c>
      <c r="E240">
        <v>3</v>
      </c>
      <c r="F240" t="s">
        <v>945</v>
      </c>
    </row>
    <row r="241" spans="2:6" x14ac:dyDescent="0.25">
      <c r="B241">
        <v>724</v>
      </c>
      <c r="C241" t="s">
        <v>190</v>
      </c>
      <c r="D241">
        <v>512</v>
      </c>
      <c r="E241">
        <v>3</v>
      </c>
      <c r="F241" t="s">
        <v>945</v>
      </c>
    </row>
    <row r="242" spans="2:6" x14ac:dyDescent="0.25">
      <c r="B242">
        <v>725</v>
      </c>
      <c r="C242" t="s">
        <v>191</v>
      </c>
      <c r="D242">
        <v>512</v>
      </c>
      <c r="E242">
        <v>3</v>
      </c>
      <c r="F242" t="s">
        <v>945</v>
      </c>
    </row>
    <row r="243" spans="2:6" x14ac:dyDescent="0.25">
      <c r="B243">
        <v>513</v>
      </c>
      <c r="C243" t="s">
        <v>108</v>
      </c>
      <c r="D243">
        <v>484</v>
      </c>
      <c r="E243">
        <v>2</v>
      </c>
      <c r="F243" t="s">
        <v>943</v>
      </c>
    </row>
    <row r="244" spans="2:6" x14ac:dyDescent="0.25">
      <c r="B244">
        <v>726</v>
      </c>
      <c r="C244" t="s">
        <v>192</v>
      </c>
      <c r="D244">
        <v>513</v>
      </c>
      <c r="E244">
        <v>3</v>
      </c>
      <c r="F244" t="s">
        <v>945</v>
      </c>
    </row>
    <row r="245" spans="2:6" x14ac:dyDescent="0.25">
      <c r="B245">
        <v>727</v>
      </c>
      <c r="C245" t="s">
        <v>193</v>
      </c>
      <c r="D245">
        <v>513</v>
      </c>
      <c r="E245">
        <v>3</v>
      </c>
      <c r="F245" t="s">
        <v>945</v>
      </c>
    </row>
    <row r="246" spans="2:6" x14ac:dyDescent="0.25">
      <c r="B246">
        <v>728</v>
      </c>
      <c r="C246" t="s">
        <v>194</v>
      </c>
      <c r="D246">
        <v>513</v>
      </c>
      <c r="E246">
        <v>3</v>
      </c>
      <c r="F246" t="s">
        <v>945</v>
      </c>
    </row>
    <row r="247" spans="2:6" x14ac:dyDescent="0.25">
      <c r="B247">
        <v>514</v>
      </c>
      <c r="C247" t="s">
        <v>109</v>
      </c>
      <c r="D247">
        <v>484</v>
      </c>
      <c r="E247">
        <v>2</v>
      </c>
      <c r="F247" t="s">
        <v>943</v>
      </c>
    </row>
    <row r="248" spans="2:6" x14ac:dyDescent="0.25">
      <c r="B248">
        <v>729</v>
      </c>
      <c r="C248" t="s">
        <v>195</v>
      </c>
      <c r="D248">
        <v>514</v>
      </c>
      <c r="E248">
        <v>3</v>
      </c>
      <c r="F248" t="s">
        <v>945</v>
      </c>
    </row>
    <row r="249" spans="2:6" x14ac:dyDescent="0.25">
      <c r="B249">
        <v>730</v>
      </c>
      <c r="C249" t="s">
        <v>196</v>
      </c>
      <c r="D249">
        <v>514</v>
      </c>
      <c r="E249">
        <v>3</v>
      </c>
      <c r="F249" t="s">
        <v>945</v>
      </c>
    </row>
    <row r="250" spans="2:6" x14ac:dyDescent="0.25">
      <c r="B250">
        <v>731</v>
      </c>
      <c r="C250" t="s">
        <v>197</v>
      </c>
      <c r="D250">
        <v>514</v>
      </c>
      <c r="E250">
        <v>3</v>
      </c>
      <c r="F250" t="s">
        <v>945</v>
      </c>
    </row>
    <row r="251" spans="2:6" x14ac:dyDescent="0.25">
      <c r="B251">
        <v>732</v>
      </c>
      <c r="C251" t="s">
        <v>198</v>
      </c>
      <c r="D251">
        <v>514</v>
      </c>
      <c r="E251">
        <v>3</v>
      </c>
      <c r="F251" t="s">
        <v>945</v>
      </c>
    </row>
    <row r="252" spans="2:6" x14ac:dyDescent="0.25">
      <c r="B252">
        <v>515</v>
      </c>
      <c r="C252" t="s">
        <v>110</v>
      </c>
      <c r="D252">
        <v>484</v>
      </c>
      <c r="E252">
        <v>2</v>
      </c>
      <c r="F252" t="s">
        <v>945</v>
      </c>
    </row>
    <row r="253" spans="2:6" x14ac:dyDescent="0.25">
      <c r="B253">
        <v>767</v>
      </c>
      <c r="C253" t="s">
        <v>117</v>
      </c>
      <c r="D253">
        <v>484</v>
      </c>
      <c r="E253">
        <v>2</v>
      </c>
      <c r="F253" t="s">
        <v>943</v>
      </c>
    </row>
    <row r="254" spans="2:6" x14ac:dyDescent="0.25">
      <c r="B254">
        <v>768</v>
      </c>
      <c r="C254" t="s">
        <v>200</v>
      </c>
      <c r="D254">
        <v>767</v>
      </c>
      <c r="E254">
        <v>3</v>
      </c>
      <c r="F254" t="s">
        <v>945</v>
      </c>
    </row>
    <row r="255" spans="2:6" x14ac:dyDescent="0.25">
      <c r="B255">
        <v>769</v>
      </c>
      <c r="C255" t="s">
        <v>201</v>
      </c>
      <c r="D255">
        <v>767</v>
      </c>
      <c r="E255">
        <v>3</v>
      </c>
      <c r="F255" t="s">
        <v>945</v>
      </c>
    </row>
    <row r="256" spans="2:6" x14ac:dyDescent="0.25">
      <c r="B256">
        <v>770</v>
      </c>
      <c r="C256" t="s">
        <v>202</v>
      </c>
      <c r="D256">
        <v>767</v>
      </c>
      <c r="E256">
        <v>3</v>
      </c>
      <c r="F256" t="s">
        <v>945</v>
      </c>
    </row>
    <row r="257" spans="2:6" x14ac:dyDescent="0.25">
      <c r="B257">
        <v>771</v>
      </c>
      <c r="C257" t="s">
        <v>203</v>
      </c>
      <c r="D257">
        <v>767</v>
      </c>
      <c r="E257">
        <v>3</v>
      </c>
      <c r="F257" t="s">
        <v>945</v>
      </c>
    </row>
    <row r="258" spans="2:6" x14ac:dyDescent="0.25">
      <c r="B258">
        <v>485</v>
      </c>
      <c r="C258" t="s">
        <v>82</v>
      </c>
      <c r="D258">
        <v>479</v>
      </c>
      <c r="E258">
        <v>1</v>
      </c>
      <c r="F258" t="s">
        <v>943</v>
      </c>
    </row>
    <row r="259" spans="2:6" x14ac:dyDescent="0.25">
      <c r="B259">
        <v>516</v>
      </c>
      <c r="C259" t="s">
        <v>111</v>
      </c>
      <c r="D259">
        <v>485</v>
      </c>
      <c r="E259">
        <v>2</v>
      </c>
      <c r="F259" t="s">
        <v>943</v>
      </c>
    </row>
    <row r="260" spans="2:6" x14ac:dyDescent="0.25">
      <c r="B260">
        <v>575</v>
      </c>
      <c r="C260" t="s">
        <v>172</v>
      </c>
      <c r="D260">
        <v>516</v>
      </c>
      <c r="E260">
        <v>3</v>
      </c>
      <c r="F260" t="s">
        <v>943</v>
      </c>
    </row>
    <row r="261" spans="2:6" x14ac:dyDescent="0.25">
      <c r="B261">
        <v>733</v>
      </c>
      <c r="C261" t="s">
        <v>335</v>
      </c>
      <c r="D261">
        <v>575</v>
      </c>
      <c r="E261">
        <v>4</v>
      </c>
      <c r="F261" t="s">
        <v>945</v>
      </c>
    </row>
    <row r="262" spans="2:6" x14ac:dyDescent="0.25">
      <c r="B262">
        <v>734</v>
      </c>
      <c r="C262" t="s">
        <v>336</v>
      </c>
      <c r="D262">
        <v>575</v>
      </c>
      <c r="E262">
        <v>4</v>
      </c>
      <c r="F262" t="s">
        <v>945</v>
      </c>
    </row>
    <row r="263" spans="2:6" x14ac:dyDescent="0.25">
      <c r="B263">
        <v>576</v>
      </c>
      <c r="C263" t="s">
        <v>173</v>
      </c>
      <c r="D263">
        <v>516</v>
      </c>
      <c r="E263">
        <v>3</v>
      </c>
      <c r="F263" t="s">
        <v>943</v>
      </c>
    </row>
    <row r="264" spans="2:6" x14ac:dyDescent="0.25">
      <c r="B264">
        <v>735</v>
      </c>
      <c r="C264" t="s">
        <v>337</v>
      </c>
      <c r="D264">
        <v>576</v>
      </c>
      <c r="E264">
        <v>4</v>
      </c>
      <c r="F264" t="s">
        <v>945</v>
      </c>
    </row>
    <row r="265" spans="2:6" x14ac:dyDescent="0.25">
      <c r="B265">
        <v>736</v>
      </c>
      <c r="C265" t="s">
        <v>338</v>
      </c>
      <c r="D265">
        <v>576</v>
      </c>
      <c r="E265">
        <v>4</v>
      </c>
      <c r="F265" t="s">
        <v>945</v>
      </c>
    </row>
    <row r="266" spans="2:6" x14ac:dyDescent="0.25">
      <c r="B266">
        <v>517</v>
      </c>
      <c r="C266" t="s">
        <v>112</v>
      </c>
      <c r="D266">
        <v>485</v>
      </c>
      <c r="E266">
        <v>2</v>
      </c>
      <c r="F266" t="s">
        <v>943</v>
      </c>
    </row>
    <row r="267" spans="2:6" x14ac:dyDescent="0.25">
      <c r="B267">
        <v>577</v>
      </c>
      <c r="C267" t="s">
        <v>174</v>
      </c>
      <c r="D267">
        <v>517</v>
      </c>
      <c r="E267">
        <v>3</v>
      </c>
      <c r="F267" t="s">
        <v>943</v>
      </c>
    </row>
    <row r="268" spans="2:6" x14ac:dyDescent="0.25">
      <c r="B268">
        <v>737</v>
      </c>
      <c r="C268" t="s">
        <v>339</v>
      </c>
      <c r="D268">
        <v>577</v>
      </c>
      <c r="E268">
        <v>4</v>
      </c>
      <c r="F268" t="s">
        <v>945</v>
      </c>
    </row>
    <row r="269" spans="2:6" x14ac:dyDescent="0.25">
      <c r="B269">
        <v>738</v>
      </c>
      <c r="C269" t="s">
        <v>340</v>
      </c>
      <c r="D269">
        <v>577</v>
      </c>
      <c r="E269">
        <v>4</v>
      </c>
      <c r="F269" t="s">
        <v>945</v>
      </c>
    </row>
    <row r="270" spans="2:6" x14ac:dyDescent="0.25">
      <c r="B270">
        <v>739</v>
      </c>
      <c r="C270" t="s">
        <v>341</v>
      </c>
      <c r="D270">
        <v>577</v>
      </c>
      <c r="E270">
        <v>4</v>
      </c>
      <c r="F270" t="s">
        <v>945</v>
      </c>
    </row>
    <row r="271" spans="2:6" x14ac:dyDescent="0.25">
      <c r="B271">
        <v>740</v>
      </c>
      <c r="C271" t="s">
        <v>342</v>
      </c>
      <c r="D271">
        <v>577</v>
      </c>
      <c r="E271">
        <v>4</v>
      </c>
      <c r="F271" t="s">
        <v>945</v>
      </c>
    </row>
    <row r="272" spans="2:6" x14ac:dyDescent="0.25">
      <c r="B272">
        <v>578</v>
      </c>
      <c r="C272" t="s">
        <v>175</v>
      </c>
      <c r="D272">
        <v>517</v>
      </c>
      <c r="E272">
        <v>3</v>
      </c>
      <c r="F272" t="s">
        <v>943</v>
      </c>
    </row>
    <row r="273" spans="2:6" x14ac:dyDescent="0.25">
      <c r="B273">
        <v>741</v>
      </c>
      <c r="C273" t="s">
        <v>343</v>
      </c>
      <c r="D273">
        <v>578</v>
      </c>
      <c r="E273">
        <v>4</v>
      </c>
      <c r="F273" t="s">
        <v>945</v>
      </c>
    </row>
    <row r="274" spans="2:6" x14ac:dyDescent="0.25">
      <c r="B274">
        <v>518</v>
      </c>
      <c r="C274" t="s">
        <v>113</v>
      </c>
      <c r="D274">
        <v>485</v>
      </c>
      <c r="E274">
        <v>2</v>
      </c>
      <c r="F274" t="s">
        <v>943</v>
      </c>
    </row>
    <row r="275" spans="2:6" x14ac:dyDescent="0.25">
      <c r="B275">
        <v>579</v>
      </c>
      <c r="C275" t="s">
        <v>176</v>
      </c>
      <c r="D275">
        <v>518</v>
      </c>
      <c r="E275">
        <v>3</v>
      </c>
      <c r="F275" t="s">
        <v>943</v>
      </c>
    </row>
    <row r="276" spans="2:6" x14ac:dyDescent="0.25">
      <c r="B276">
        <v>742</v>
      </c>
      <c r="C276" t="s">
        <v>344</v>
      </c>
      <c r="D276">
        <v>579</v>
      </c>
      <c r="E276">
        <v>4</v>
      </c>
      <c r="F276" t="s">
        <v>945</v>
      </c>
    </row>
    <row r="277" spans="2:6" x14ac:dyDescent="0.25">
      <c r="B277">
        <v>743</v>
      </c>
      <c r="C277" t="s">
        <v>345</v>
      </c>
      <c r="D277">
        <v>579</v>
      </c>
      <c r="E277">
        <v>4</v>
      </c>
      <c r="F277" t="s">
        <v>945</v>
      </c>
    </row>
    <row r="278" spans="2:6" x14ac:dyDescent="0.25">
      <c r="B278">
        <v>744</v>
      </c>
      <c r="C278" t="s">
        <v>83</v>
      </c>
      <c r="D278">
        <v>579</v>
      </c>
      <c r="E278">
        <v>4</v>
      </c>
      <c r="F278" t="s">
        <v>945</v>
      </c>
    </row>
    <row r="279" spans="2:6" x14ac:dyDescent="0.25">
      <c r="B279">
        <v>580</v>
      </c>
      <c r="C279" t="s">
        <v>91</v>
      </c>
      <c r="D279">
        <v>518</v>
      </c>
      <c r="E279">
        <v>3</v>
      </c>
      <c r="F279" t="s">
        <v>945</v>
      </c>
    </row>
    <row r="280" spans="2:6" x14ac:dyDescent="0.25">
      <c r="B280">
        <v>519</v>
      </c>
      <c r="C280" t="s">
        <v>114</v>
      </c>
      <c r="D280">
        <v>485</v>
      </c>
      <c r="E280">
        <v>2</v>
      </c>
      <c r="F280" t="s">
        <v>943</v>
      </c>
    </row>
    <row r="281" spans="2:6" x14ac:dyDescent="0.25">
      <c r="B281">
        <v>745</v>
      </c>
      <c r="C281" t="s">
        <v>199</v>
      </c>
      <c r="D281">
        <v>519</v>
      </c>
      <c r="E281">
        <v>3</v>
      </c>
      <c r="F281" t="s">
        <v>945</v>
      </c>
    </row>
    <row r="282" spans="2:6" x14ac:dyDescent="0.25">
      <c r="B282">
        <v>520</v>
      </c>
      <c r="C282" t="s">
        <v>91</v>
      </c>
      <c r="D282">
        <v>485</v>
      </c>
      <c r="E282">
        <v>2</v>
      </c>
      <c r="F282" t="s">
        <v>945</v>
      </c>
    </row>
    <row r="283" spans="2:6" x14ac:dyDescent="0.25">
      <c r="B283">
        <v>486</v>
      </c>
      <c r="C283" t="s">
        <v>83</v>
      </c>
      <c r="D283">
        <v>479</v>
      </c>
      <c r="E283">
        <v>1</v>
      </c>
      <c r="F283" t="s">
        <v>945</v>
      </c>
    </row>
    <row r="284" spans="2:6" x14ac:dyDescent="0.25">
      <c r="B284">
        <v>773</v>
      </c>
      <c r="C284" t="s">
        <v>84</v>
      </c>
      <c r="D284">
        <v>479</v>
      </c>
      <c r="E284">
        <v>1</v>
      </c>
      <c r="F284" t="s">
        <v>943</v>
      </c>
    </row>
    <row r="285" spans="2:6" x14ac:dyDescent="0.25">
      <c r="B285">
        <v>774</v>
      </c>
      <c r="C285" t="s">
        <v>118</v>
      </c>
      <c r="D285">
        <v>773</v>
      </c>
      <c r="E285">
        <v>2</v>
      </c>
      <c r="F285" t="s">
        <v>943</v>
      </c>
    </row>
    <row r="286" spans="2:6" x14ac:dyDescent="0.25">
      <c r="B286">
        <v>775</v>
      </c>
      <c r="C286" t="s">
        <v>205</v>
      </c>
      <c r="D286">
        <v>774</v>
      </c>
      <c r="E286">
        <v>3</v>
      </c>
      <c r="F286" t="s">
        <v>943</v>
      </c>
    </row>
    <row r="287" spans="2:6" x14ac:dyDescent="0.25">
      <c r="B287">
        <v>776</v>
      </c>
      <c r="C287" t="s">
        <v>349</v>
      </c>
      <c r="D287">
        <v>775</v>
      </c>
      <c r="E287">
        <v>4</v>
      </c>
      <c r="F287" t="s">
        <v>945</v>
      </c>
    </row>
    <row r="288" spans="2:6" x14ac:dyDescent="0.25">
      <c r="B288">
        <v>777</v>
      </c>
      <c r="C288" t="s">
        <v>350</v>
      </c>
      <c r="D288">
        <v>775</v>
      </c>
      <c r="E288">
        <v>4</v>
      </c>
      <c r="F288" t="s">
        <v>945</v>
      </c>
    </row>
    <row r="289" spans="2:6" x14ac:dyDescent="0.25">
      <c r="B289">
        <v>778</v>
      </c>
      <c r="C289" t="s">
        <v>351</v>
      </c>
      <c r="D289">
        <v>775</v>
      </c>
      <c r="E289">
        <v>4</v>
      </c>
      <c r="F289" t="s">
        <v>945</v>
      </c>
    </row>
    <row r="290" spans="2:6" x14ac:dyDescent="0.25">
      <c r="B290">
        <v>779</v>
      </c>
      <c r="C290" t="s">
        <v>206</v>
      </c>
      <c r="D290">
        <v>774</v>
      </c>
      <c r="E290">
        <v>3</v>
      </c>
      <c r="F290" t="s">
        <v>943</v>
      </c>
    </row>
    <row r="291" spans="2:6" x14ac:dyDescent="0.25">
      <c r="B291">
        <v>780</v>
      </c>
      <c r="C291" t="s">
        <v>352</v>
      </c>
      <c r="D291">
        <v>779</v>
      </c>
      <c r="E291">
        <v>4</v>
      </c>
      <c r="F291" t="s">
        <v>945</v>
      </c>
    </row>
    <row r="292" spans="2:6" x14ac:dyDescent="0.25">
      <c r="B292">
        <v>781</v>
      </c>
      <c r="C292" t="s">
        <v>353</v>
      </c>
      <c r="D292">
        <v>779</v>
      </c>
      <c r="E292">
        <v>4</v>
      </c>
      <c r="F292" t="s">
        <v>945</v>
      </c>
    </row>
    <row r="293" spans="2:6" x14ac:dyDescent="0.25">
      <c r="B293">
        <v>782</v>
      </c>
      <c r="C293" t="s">
        <v>354</v>
      </c>
      <c r="D293">
        <v>779</v>
      </c>
      <c r="E293">
        <v>4</v>
      </c>
      <c r="F293" t="s">
        <v>945</v>
      </c>
    </row>
    <row r="294" spans="2:6" x14ac:dyDescent="0.25">
      <c r="B294">
        <v>783</v>
      </c>
      <c r="C294" t="s">
        <v>355</v>
      </c>
      <c r="D294">
        <v>779</v>
      </c>
      <c r="E294">
        <v>4</v>
      </c>
      <c r="F294" t="s">
        <v>945</v>
      </c>
    </row>
    <row r="295" spans="2:6" x14ac:dyDescent="0.25">
      <c r="B295">
        <v>784</v>
      </c>
      <c r="C295" t="s">
        <v>356</v>
      </c>
      <c r="D295">
        <v>779</v>
      </c>
      <c r="E295">
        <v>4</v>
      </c>
      <c r="F295" t="s">
        <v>945</v>
      </c>
    </row>
    <row r="296" spans="2:6" x14ac:dyDescent="0.25">
      <c r="B296">
        <v>785</v>
      </c>
      <c r="C296" t="s">
        <v>357</v>
      </c>
      <c r="D296">
        <v>779</v>
      </c>
      <c r="E296">
        <v>4</v>
      </c>
      <c r="F296" t="s">
        <v>945</v>
      </c>
    </row>
    <row r="297" spans="2:6" x14ac:dyDescent="0.25">
      <c r="B297">
        <v>786</v>
      </c>
      <c r="C297" t="s">
        <v>358</v>
      </c>
      <c r="D297">
        <v>779</v>
      </c>
      <c r="E297">
        <v>4</v>
      </c>
      <c r="F297" t="s">
        <v>945</v>
      </c>
    </row>
    <row r="298" spans="2:6" x14ac:dyDescent="0.25">
      <c r="B298">
        <v>787</v>
      </c>
      <c r="C298" t="s">
        <v>359</v>
      </c>
      <c r="D298">
        <v>779</v>
      </c>
      <c r="E298">
        <v>4</v>
      </c>
      <c r="F298" t="s">
        <v>945</v>
      </c>
    </row>
    <row r="299" spans="2:6" x14ac:dyDescent="0.25">
      <c r="B299">
        <v>788</v>
      </c>
      <c r="C299" t="s">
        <v>207</v>
      </c>
      <c r="D299">
        <v>774</v>
      </c>
      <c r="E299">
        <v>3</v>
      </c>
      <c r="F299" t="s">
        <v>943</v>
      </c>
    </row>
    <row r="300" spans="2:6" x14ac:dyDescent="0.25">
      <c r="B300">
        <v>789</v>
      </c>
      <c r="C300" t="s">
        <v>360</v>
      </c>
      <c r="D300">
        <v>788</v>
      </c>
      <c r="E300">
        <v>4</v>
      </c>
      <c r="F300" t="s">
        <v>945</v>
      </c>
    </row>
    <row r="301" spans="2:6" x14ac:dyDescent="0.25">
      <c r="B301">
        <v>790</v>
      </c>
      <c r="C301" t="s">
        <v>361</v>
      </c>
      <c r="D301">
        <v>788</v>
      </c>
      <c r="E301">
        <v>4</v>
      </c>
      <c r="F301" t="s">
        <v>945</v>
      </c>
    </row>
    <row r="302" spans="2:6" x14ac:dyDescent="0.25">
      <c r="B302">
        <v>791</v>
      </c>
      <c r="C302" t="s">
        <v>208</v>
      </c>
      <c r="D302">
        <v>774</v>
      </c>
      <c r="E302">
        <v>3</v>
      </c>
      <c r="F302" t="s">
        <v>943</v>
      </c>
    </row>
    <row r="303" spans="2:6" x14ac:dyDescent="0.25">
      <c r="B303">
        <v>792</v>
      </c>
      <c r="C303" t="s">
        <v>362</v>
      </c>
      <c r="D303">
        <v>791</v>
      </c>
      <c r="E303">
        <v>4</v>
      </c>
      <c r="F303" t="s">
        <v>945</v>
      </c>
    </row>
    <row r="304" spans="2:6" x14ac:dyDescent="0.25">
      <c r="B304">
        <v>793</v>
      </c>
      <c r="C304" t="s">
        <v>119</v>
      </c>
      <c r="D304">
        <v>773</v>
      </c>
      <c r="E304">
        <v>2</v>
      </c>
      <c r="F304" t="s">
        <v>943</v>
      </c>
    </row>
    <row r="305" spans="2:6" x14ac:dyDescent="0.25">
      <c r="B305">
        <v>794</v>
      </c>
      <c r="C305" t="s">
        <v>209</v>
      </c>
      <c r="D305">
        <v>793</v>
      </c>
      <c r="E305">
        <v>3</v>
      </c>
      <c r="F305" t="s">
        <v>943</v>
      </c>
    </row>
    <row r="306" spans="2:6" x14ac:dyDescent="0.25">
      <c r="B306">
        <v>795</v>
      </c>
      <c r="C306" t="s">
        <v>363</v>
      </c>
      <c r="D306">
        <v>794</v>
      </c>
      <c r="E306">
        <v>4</v>
      </c>
      <c r="F306" t="s">
        <v>945</v>
      </c>
    </row>
    <row r="307" spans="2:6" x14ac:dyDescent="0.25">
      <c r="B307">
        <v>796</v>
      </c>
      <c r="C307" t="s">
        <v>364</v>
      </c>
      <c r="D307">
        <v>794</v>
      </c>
      <c r="E307">
        <v>4</v>
      </c>
      <c r="F307" t="s">
        <v>945</v>
      </c>
    </row>
    <row r="308" spans="2:6" x14ac:dyDescent="0.25">
      <c r="B308">
        <v>797</v>
      </c>
      <c r="C308" t="s">
        <v>210</v>
      </c>
      <c r="D308">
        <v>793</v>
      </c>
      <c r="E308">
        <v>3</v>
      </c>
      <c r="F308" t="s">
        <v>943</v>
      </c>
    </row>
    <row r="309" spans="2:6" x14ac:dyDescent="0.25">
      <c r="B309">
        <v>798</v>
      </c>
      <c r="C309" t="s">
        <v>365</v>
      </c>
      <c r="D309">
        <v>797</v>
      </c>
      <c r="E309">
        <v>4</v>
      </c>
      <c r="F309" t="s">
        <v>945</v>
      </c>
    </row>
    <row r="310" spans="2:6" x14ac:dyDescent="0.25">
      <c r="B310">
        <v>799</v>
      </c>
      <c r="C310" t="s">
        <v>366</v>
      </c>
      <c r="D310">
        <v>797</v>
      </c>
      <c r="E310">
        <v>4</v>
      </c>
      <c r="F310" t="s">
        <v>945</v>
      </c>
    </row>
    <row r="311" spans="2:6" x14ac:dyDescent="0.25">
      <c r="B311">
        <v>800</v>
      </c>
      <c r="C311" t="s">
        <v>367</v>
      </c>
      <c r="D311">
        <v>797</v>
      </c>
      <c r="E311">
        <v>4</v>
      </c>
      <c r="F311" t="s">
        <v>945</v>
      </c>
    </row>
    <row r="312" spans="2:6" x14ac:dyDescent="0.25">
      <c r="B312">
        <v>801</v>
      </c>
      <c r="C312" t="s">
        <v>211</v>
      </c>
      <c r="D312">
        <v>793</v>
      </c>
      <c r="E312">
        <v>3</v>
      </c>
      <c r="F312" t="s">
        <v>943</v>
      </c>
    </row>
    <row r="313" spans="2:6" x14ac:dyDescent="0.25">
      <c r="B313">
        <v>802</v>
      </c>
      <c r="C313" t="s">
        <v>368</v>
      </c>
      <c r="D313">
        <v>801</v>
      </c>
      <c r="E313">
        <v>4</v>
      </c>
      <c r="F313" t="s">
        <v>945</v>
      </c>
    </row>
    <row r="314" spans="2:6" x14ac:dyDescent="0.25">
      <c r="B314">
        <v>803</v>
      </c>
      <c r="C314" t="s">
        <v>212</v>
      </c>
      <c r="D314">
        <v>793</v>
      </c>
      <c r="E314">
        <v>3</v>
      </c>
      <c r="F314" t="s">
        <v>943</v>
      </c>
    </row>
    <row r="315" spans="2:6" x14ac:dyDescent="0.25">
      <c r="B315">
        <v>804</v>
      </c>
      <c r="C315" t="s">
        <v>369</v>
      </c>
      <c r="D315">
        <v>803</v>
      </c>
      <c r="E315">
        <v>4</v>
      </c>
      <c r="F315" t="s">
        <v>945</v>
      </c>
    </row>
    <row r="316" spans="2:6" x14ac:dyDescent="0.25">
      <c r="B316">
        <v>805</v>
      </c>
      <c r="C316" t="s">
        <v>213</v>
      </c>
      <c r="D316">
        <v>793</v>
      </c>
      <c r="E316">
        <v>3</v>
      </c>
      <c r="F316" t="s">
        <v>943</v>
      </c>
    </row>
    <row r="317" spans="2:6" x14ac:dyDescent="0.25">
      <c r="B317">
        <v>806</v>
      </c>
      <c r="C317" t="s">
        <v>370</v>
      </c>
      <c r="D317">
        <v>805</v>
      </c>
      <c r="E317">
        <v>4</v>
      </c>
      <c r="F317" t="s">
        <v>945</v>
      </c>
    </row>
    <row r="318" spans="2:6" x14ac:dyDescent="0.25">
      <c r="B318">
        <v>807</v>
      </c>
      <c r="C318" t="s">
        <v>371</v>
      </c>
      <c r="D318">
        <v>805</v>
      </c>
      <c r="E318">
        <v>4</v>
      </c>
      <c r="F318" t="s">
        <v>945</v>
      </c>
    </row>
    <row r="319" spans="2:6" x14ac:dyDescent="0.25">
      <c r="B319">
        <v>808</v>
      </c>
      <c r="C319" t="s">
        <v>214</v>
      </c>
      <c r="D319">
        <v>793</v>
      </c>
      <c r="E319">
        <v>3</v>
      </c>
      <c r="F319" t="s">
        <v>943</v>
      </c>
    </row>
    <row r="320" spans="2:6" x14ac:dyDescent="0.25">
      <c r="B320">
        <v>809</v>
      </c>
      <c r="C320" t="s">
        <v>372</v>
      </c>
      <c r="D320">
        <v>808</v>
      </c>
      <c r="E320">
        <v>4</v>
      </c>
      <c r="F320" t="s">
        <v>945</v>
      </c>
    </row>
    <row r="321" spans="2:6" x14ac:dyDescent="0.25">
      <c r="B321">
        <v>810</v>
      </c>
      <c r="C321" t="s">
        <v>373</v>
      </c>
      <c r="D321">
        <v>808</v>
      </c>
      <c r="E321">
        <v>4</v>
      </c>
      <c r="F321" t="s">
        <v>945</v>
      </c>
    </row>
    <row r="322" spans="2:6" x14ac:dyDescent="0.25">
      <c r="B322">
        <v>811</v>
      </c>
      <c r="C322" t="s">
        <v>374</v>
      </c>
      <c r="D322">
        <v>808</v>
      </c>
      <c r="E322">
        <v>4</v>
      </c>
      <c r="F322" t="s">
        <v>945</v>
      </c>
    </row>
    <row r="323" spans="2:6" x14ac:dyDescent="0.25">
      <c r="B323">
        <v>1089</v>
      </c>
      <c r="C323" t="s">
        <v>215</v>
      </c>
      <c r="D323">
        <v>793</v>
      </c>
      <c r="E323">
        <v>3</v>
      </c>
      <c r="F323" t="s">
        <v>943</v>
      </c>
    </row>
    <row r="324" spans="2:6" x14ac:dyDescent="0.25">
      <c r="B324">
        <v>1090</v>
      </c>
      <c r="C324" t="s">
        <v>375</v>
      </c>
      <c r="D324">
        <v>1089</v>
      </c>
      <c r="E324">
        <v>4</v>
      </c>
      <c r="F324" t="s">
        <v>945</v>
      </c>
    </row>
    <row r="325" spans="2:6" x14ac:dyDescent="0.25">
      <c r="B325">
        <v>1091</v>
      </c>
      <c r="C325" t="s">
        <v>376</v>
      </c>
      <c r="D325">
        <v>1089</v>
      </c>
      <c r="E325">
        <v>4</v>
      </c>
      <c r="F325" t="s">
        <v>945</v>
      </c>
    </row>
    <row r="326" spans="2:6" x14ac:dyDescent="0.25">
      <c r="B326">
        <v>1092</v>
      </c>
      <c r="C326" t="s">
        <v>377</v>
      </c>
      <c r="D326">
        <v>1089</v>
      </c>
      <c r="E326">
        <v>4</v>
      </c>
      <c r="F326" t="s">
        <v>945</v>
      </c>
    </row>
    <row r="327" spans="2:6" x14ac:dyDescent="0.25">
      <c r="B327">
        <v>816</v>
      </c>
      <c r="C327" t="s">
        <v>91</v>
      </c>
      <c r="D327">
        <v>773</v>
      </c>
      <c r="E327">
        <v>2</v>
      </c>
      <c r="F327" t="s">
        <v>945</v>
      </c>
    </row>
    <row r="328" spans="2:6" x14ac:dyDescent="0.25">
      <c r="B328">
        <v>27000000</v>
      </c>
      <c r="C328" t="s">
        <v>85</v>
      </c>
      <c r="D328">
        <v>479</v>
      </c>
      <c r="E328">
        <v>1</v>
      </c>
      <c r="F328" t="s">
        <v>943</v>
      </c>
    </row>
    <row r="329" spans="2:6" x14ac:dyDescent="0.25">
      <c r="B329">
        <v>27020000</v>
      </c>
      <c r="C329" t="s">
        <v>120</v>
      </c>
      <c r="D329">
        <v>27000000</v>
      </c>
      <c r="E329">
        <v>2</v>
      </c>
      <c r="F329" t="s">
        <v>943</v>
      </c>
    </row>
    <row r="330" spans="2:6" x14ac:dyDescent="0.25">
      <c r="B330">
        <v>27022600</v>
      </c>
      <c r="C330" t="s">
        <v>216</v>
      </c>
      <c r="D330">
        <v>27020000</v>
      </c>
      <c r="E330">
        <v>3</v>
      </c>
      <c r="F330" t="s">
        <v>943</v>
      </c>
    </row>
    <row r="331" spans="2:6" x14ac:dyDescent="0.25">
      <c r="B331">
        <v>27022603</v>
      </c>
      <c r="C331" t="s">
        <v>378</v>
      </c>
      <c r="D331">
        <v>27022600</v>
      </c>
      <c r="E331">
        <v>4</v>
      </c>
      <c r="F331" t="s">
        <v>945</v>
      </c>
    </row>
    <row r="332" spans="2:6" x14ac:dyDescent="0.25">
      <c r="B332">
        <v>27023200</v>
      </c>
      <c r="C332" t="s">
        <v>217</v>
      </c>
      <c r="D332">
        <v>27020000</v>
      </c>
      <c r="E332">
        <v>3</v>
      </c>
      <c r="F332" t="s">
        <v>943</v>
      </c>
    </row>
    <row r="333" spans="2:6" x14ac:dyDescent="0.25">
      <c r="B333">
        <v>27023201</v>
      </c>
      <c r="C333" t="s">
        <v>379</v>
      </c>
      <c r="D333">
        <v>27023200</v>
      </c>
      <c r="E333">
        <v>4</v>
      </c>
      <c r="F333" t="s">
        <v>945</v>
      </c>
    </row>
    <row r="334" spans="2:6" x14ac:dyDescent="0.25">
      <c r="B334">
        <v>27040000</v>
      </c>
      <c r="C334" t="s">
        <v>121</v>
      </c>
      <c r="D334">
        <v>27000000</v>
      </c>
      <c r="E334">
        <v>2</v>
      </c>
      <c r="F334" t="s">
        <v>943</v>
      </c>
    </row>
    <row r="335" spans="2:6" x14ac:dyDescent="0.25">
      <c r="B335">
        <v>27040600</v>
      </c>
      <c r="C335" t="s">
        <v>906</v>
      </c>
      <c r="D335">
        <v>27040000</v>
      </c>
      <c r="E335">
        <v>3</v>
      </c>
      <c r="F335" t="s">
        <v>943</v>
      </c>
    </row>
    <row r="336" spans="2:6" x14ac:dyDescent="0.25">
      <c r="B336">
        <v>27040601</v>
      </c>
      <c r="C336" t="s">
        <v>965</v>
      </c>
      <c r="D336">
        <v>27040600</v>
      </c>
      <c r="E336">
        <v>4</v>
      </c>
      <c r="F336" t="s">
        <v>945</v>
      </c>
    </row>
    <row r="337" spans="2:6" x14ac:dyDescent="0.25">
      <c r="B337">
        <v>27040603</v>
      </c>
      <c r="C337" t="s">
        <v>907</v>
      </c>
      <c r="D337">
        <v>27040600</v>
      </c>
      <c r="E337">
        <v>4</v>
      </c>
      <c r="F337" t="s">
        <v>945</v>
      </c>
    </row>
    <row r="338" spans="2:6" x14ac:dyDescent="0.25">
      <c r="B338">
        <v>27040602</v>
      </c>
      <c r="C338" t="s">
        <v>908</v>
      </c>
      <c r="D338">
        <v>27040600</v>
      </c>
      <c r="E338">
        <v>4</v>
      </c>
      <c r="F338" t="s">
        <v>945</v>
      </c>
    </row>
    <row r="339" spans="2:6" x14ac:dyDescent="0.25">
      <c r="B339">
        <v>27040604</v>
      </c>
      <c r="C339" t="s">
        <v>909</v>
      </c>
      <c r="D339">
        <v>27040600</v>
      </c>
      <c r="E339">
        <v>4</v>
      </c>
      <c r="F339" t="s">
        <v>945</v>
      </c>
    </row>
    <row r="340" spans="2:6" x14ac:dyDescent="0.25">
      <c r="B340">
        <v>27070000</v>
      </c>
      <c r="C340" t="s">
        <v>122</v>
      </c>
      <c r="D340">
        <v>27000000</v>
      </c>
      <c r="E340">
        <v>2</v>
      </c>
      <c r="F340" t="s">
        <v>943</v>
      </c>
    </row>
    <row r="341" spans="2:6" x14ac:dyDescent="0.25">
      <c r="B341">
        <v>27070200</v>
      </c>
      <c r="C341" t="s">
        <v>218</v>
      </c>
      <c r="D341">
        <v>27070000</v>
      </c>
      <c r="E341">
        <v>3</v>
      </c>
      <c r="F341" t="s">
        <v>943</v>
      </c>
    </row>
    <row r="342" spans="2:6" x14ac:dyDescent="0.25">
      <c r="B342">
        <v>27070205</v>
      </c>
      <c r="C342" t="s">
        <v>380</v>
      </c>
      <c r="D342">
        <v>27070200</v>
      </c>
      <c r="E342">
        <v>4</v>
      </c>
      <c r="F342" t="s">
        <v>945</v>
      </c>
    </row>
    <row r="343" spans="2:6" x14ac:dyDescent="0.25">
      <c r="B343">
        <v>27140000</v>
      </c>
      <c r="C343" t="s">
        <v>123</v>
      </c>
      <c r="D343">
        <v>27000000</v>
      </c>
      <c r="E343">
        <v>2</v>
      </c>
      <c r="F343" t="s">
        <v>943</v>
      </c>
    </row>
    <row r="344" spans="2:6" x14ac:dyDescent="0.25">
      <c r="B344">
        <v>27141900</v>
      </c>
      <c r="C344" t="s">
        <v>219</v>
      </c>
      <c r="D344">
        <v>27140000</v>
      </c>
      <c r="E344">
        <v>3</v>
      </c>
      <c r="F344" t="s">
        <v>943</v>
      </c>
    </row>
    <row r="345" spans="2:6" x14ac:dyDescent="0.25">
      <c r="B345">
        <v>27141901</v>
      </c>
      <c r="C345" t="s">
        <v>381</v>
      </c>
      <c r="D345">
        <v>27141900</v>
      </c>
      <c r="E345">
        <v>4</v>
      </c>
      <c r="F345" t="s">
        <v>945</v>
      </c>
    </row>
    <row r="346" spans="2:6" x14ac:dyDescent="0.25">
      <c r="B346">
        <v>27141903</v>
      </c>
      <c r="C346" t="s">
        <v>382</v>
      </c>
      <c r="D346">
        <v>27141900</v>
      </c>
      <c r="E346">
        <v>4</v>
      </c>
      <c r="F346" t="s">
        <v>945</v>
      </c>
    </row>
    <row r="347" spans="2:6" x14ac:dyDescent="0.25">
      <c r="B347">
        <v>27141904</v>
      </c>
      <c r="C347" t="s">
        <v>383</v>
      </c>
      <c r="D347">
        <v>27141900</v>
      </c>
      <c r="E347">
        <v>4</v>
      </c>
      <c r="F347" t="s">
        <v>945</v>
      </c>
    </row>
    <row r="348" spans="2:6" x14ac:dyDescent="0.25">
      <c r="B348">
        <v>27141905</v>
      </c>
      <c r="C348" t="s">
        <v>384</v>
      </c>
      <c r="D348">
        <v>27141900</v>
      </c>
      <c r="E348">
        <v>4</v>
      </c>
      <c r="F348" t="s">
        <v>945</v>
      </c>
    </row>
    <row r="349" spans="2:6" x14ac:dyDescent="0.25">
      <c r="B349">
        <v>27141906</v>
      </c>
      <c r="C349" t="s">
        <v>385</v>
      </c>
      <c r="D349">
        <v>27141900</v>
      </c>
      <c r="E349">
        <v>4</v>
      </c>
      <c r="F349" t="s">
        <v>945</v>
      </c>
    </row>
    <row r="350" spans="2:6" x14ac:dyDescent="0.25">
      <c r="B350">
        <v>27141907</v>
      </c>
      <c r="C350" t="s">
        <v>386</v>
      </c>
      <c r="D350">
        <v>27141900</v>
      </c>
      <c r="E350">
        <v>4</v>
      </c>
      <c r="F350" t="s">
        <v>945</v>
      </c>
    </row>
    <row r="351" spans="2:6" x14ac:dyDescent="0.25">
      <c r="B351">
        <v>27141990</v>
      </c>
      <c r="C351" t="s">
        <v>387</v>
      </c>
      <c r="D351">
        <v>27141900</v>
      </c>
      <c r="E351">
        <v>4</v>
      </c>
      <c r="F351" t="s">
        <v>945</v>
      </c>
    </row>
    <row r="352" spans="2:6" x14ac:dyDescent="0.25">
      <c r="B352">
        <v>27142300</v>
      </c>
      <c r="C352" t="s">
        <v>220</v>
      </c>
      <c r="D352">
        <v>27140000</v>
      </c>
      <c r="E352">
        <v>3</v>
      </c>
      <c r="F352" t="s">
        <v>943</v>
      </c>
    </row>
    <row r="353" spans="2:6" x14ac:dyDescent="0.25">
      <c r="B353">
        <v>27142301</v>
      </c>
      <c r="C353" t="s">
        <v>388</v>
      </c>
      <c r="D353">
        <v>27142300</v>
      </c>
      <c r="E353">
        <v>4</v>
      </c>
      <c r="F353" t="s">
        <v>945</v>
      </c>
    </row>
    <row r="354" spans="2:6" x14ac:dyDescent="0.25">
      <c r="B354">
        <v>27142316</v>
      </c>
      <c r="C354" t="s">
        <v>389</v>
      </c>
      <c r="D354">
        <v>27142300</v>
      </c>
      <c r="E354">
        <v>4</v>
      </c>
      <c r="F354" t="s">
        <v>945</v>
      </c>
    </row>
    <row r="355" spans="2:6" x14ac:dyDescent="0.25">
      <c r="B355">
        <v>27143100</v>
      </c>
      <c r="C355" t="s">
        <v>221</v>
      </c>
      <c r="D355">
        <v>27140000</v>
      </c>
      <c r="E355">
        <v>3</v>
      </c>
      <c r="F355" t="s">
        <v>943</v>
      </c>
    </row>
    <row r="356" spans="2:6" x14ac:dyDescent="0.25">
      <c r="B356">
        <v>27143145</v>
      </c>
      <c r="C356" t="s">
        <v>390</v>
      </c>
      <c r="D356">
        <v>27143100</v>
      </c>
      <c r="E356">
        <v>4</v>
      </c>
      <c r="F356" t="s">
        <v>945</v>
      </c>
    </row>
    <row r="357" spans="2:6" x14ac:dyDescent="0.25">
      <c r="B357">
        <v>27144000</v>
      </c>
      <c r="C357" t="s">
        <v>222</v>
      </c>
      <c r="D357">
        <v>27140000</v>
      </c>
      <c r="E357">
        <v>3</v>
      </c>
      <c r="F357" t="s">
        <v>943</v>
      </c>
    </row>
    <row r="358" spans="2:6" x14ac:dyDescent="0.25">
      <c r="B358">
        <v>27144002</v>
      </c>
      <c r="C358" t="s">
        <v>391</v>
      </c>
      <c r="D358">
        <v>27144000</v>
      </c>
      <c r="E358">
        <v>4</v>
      </c>
      <c r="F358" t="s">
        <v>945</v>
      </c>
    </row>
    <row r="359" spans="2:6" x14ac:dyDescent="0.25">
      <c r="B359">
        <v>27144042</v>
      </c>
      <c r="C359" t="s">
        <v>392</v>
      </c>
      <c r="D359">
        <v>27144000</v>
      </c>
      <c r="E359">
        <v>4</v>
      </c>
      <c r="F359" t="s">
        <v>945</v>
      </c>
    </row>
    <row r="360" spans="2:6" x14ac:dyDescent="0.25">
      <c r="B360">
        <v>952</v>
      </c>
      <c r="C360" t="s">
        <v>910</v>
      </c>
      <c r="D360">
        <v>479</v>
      </c>
      <c r="E360">
        <v>1</v>
      </c>
      <c r="F360" t="s">
        <v>943</v>
      </c>
    </row>
    <row r="361" spans="2:6" x14ac:dyDescent="0.25">
      <c r="B361">
        <v>959</v>
      </c>
      <c r="C361" t="s">
        <v>923</v>
      </c>
      <c r="D361">
        <v>952</v>
      </c>
      <c r="E361">
        <v>2</v>
      </c>
      <c r="F361" t="s">
        <v>943</v>
      </c>
    </row>
    <row r="362" spans="2:6" x14ac:dyDescent="0.25">
      <c r="B362">
        <v>960</v>
      </c>
      <c r="C362" t="s">
        <v>924</v>
      </c>
      <c r="D362">
        <v>959</v>
      </c>
      <c r="E362">
        <v>3</v>
      </c>
      <c r="F362" t="s">
        <v>945</v>
      </c>
    </row>
    <row r="363" spans="2:6" x14ac:dyDescent="0.25">
      <c r="B363">
        <v>961</v>
      </c>
      <c r="C363" t="s">
        <v>83</v>
      </c>
      <c r="D363">
        <v>959</v>
      </c>
      <c r="E363">
        <v>3</v>
      </c>
      <c r="F363" t="s">
        <v>945</v>
      </c>
    </row>
    <row r="364" spans="2:6" x14ac:dyDescent="0.25">
      <c r="B364">
        <v>962</v>
      </c>
      <c r="C364" t="s">
        <v>925</v>
      </c>
      <c r="D364">
        <v>952</v>
      </c>
      <c r="E364">
        <v>2</v>
      </c>
      <c r="F364" t="s">
        <v>943</v>
      </c>
    </row>
    <row r="365" spans="2:6" x14ac:dyDescent="0.25">
      <c r="B365">
        <v>963</v>
      </c>
      <c r="C365" t="s">
        <v>926</v>
      </c>
      <c r="D365">
        <v>962</v>
      </c>
      <c r="E365">
        <v>3</v>
      </c>
      <c r="F365" t="s">
        <v>945</v>
      </c>
    </row>
    <row r="366" spans="2:6" x14ac:dyDescent="0.25">
      <c r="B366">
        <v>964</v>
      </c>
      <c r="C366" t="s">
        <v>927</v>
      </c>
      <c r="D366">
        <v>962</v>
      </c>
      <c r="E366">
        <v>3</v>
      </c>
      <c r="F366" t="s">
        <v>945</v>
      </c>
    </row>
    <row r="367" spans="2:6" x14ac:dyDescent="0.25">
      <c r="B367">
        <v>966</v>
      </c>
      <c r="C367" t="s">
        <v>928</v>
      </c>
      <c r="D367">
        <v>952</v>
      </c>
      <c r="E367">
        <v>2</v>
      </c>
      <c r="F367" t="s">
        <v>943</v>
      </c>
    </row>
    <row r="368" spans="2:6" x14ac:dyDescent="0.25">
      <c r="B368">
        <v>967</v>
      </c>
      <c r="C368" t="s">
        <v>929</v>
      </c>
      <c r="D368">
        <v>966</v>
      </c>
      <c r="E368">
        <v>3</v>
      </c>
      <c r="F368" t="s">
        <v>945</v>
      </c>
    </row>
    <row r="369" spans="2:6" x14ac:dyDescent="0.25">
      <c r="B369">
        <v>968</v>
      </c>
      <c r="C369" t="s">
        <v>930</v>
      </c>
      <c r="D369">
        <v>966</v>
      </c>
      <c r="E369">
        <v>3</v>
      </c>
      <c r="F369" t="s">
        <v>945</v>
      </c>
    </row>
    <row r="370" spans="2:6" x14ac:dyDescent="0.25">
      <c r="B370">
        <v>969</v>
      </c>
      <c r="C370" t="s">
        <v>83</v>
      </c>
      <c r="D370">
        <v>966</v>
      </c>
      <c r="E370">
        <v>3</v>
      </c>
      <c r="F370" t="s">
        <v>945</v>
      </c>
    </row>
    <row r="371" spans="2:6" x14ac:dyDescent="0.25">
      <c r="B371">
        <v>970</v>
      </c>
      <c r="C371" t="s">
        <v>920</v>
      </c>
      <c r="D371">
        <v>952</v>
      </c>
      <c r="E371">
        <v>2</v>
      </c>
      <c r="F371" t="s">
        <v>943</v>
      </c>
    </row>
    <row r="372" spans="2:6" x14ac:dyDescent="0.25">
      <c r="B372">
        <v>971</v>
      </c>
      <c r="C372" t="s">
        <v>921</v>
      </c>
      <c r="D372">
        <v>970</v>
      </c>
      <c r="E372">
        <v>3</v>
      </c>
      <c r="F372" t="s">
        <v>945</v>
      </c>
    </row>
    <row r="373" spans="2:6" x14ac:dyDescent="0.25">
      <c r="B373">
        <v>972</v>
      </c>
      <c r="C373" t="s">
        <v>922</v>
      </c>
      <c r="D373">
        <v>970</v>
      </c>
      <c r="E373">
        <v>3</v>
      </c>
      <c r="F373" t="s">
        <v>945</v>
      </c>
    </row>
    <row r="374" spans="2:6" x14ac:dyDescent="0.25">
      <c r="B374">
        <v>1000</v>
      </c>
      <c r="C374" t="s">
        <v>955</v>
      </c>
      <c r="D374">
        <v>545</v>
      </c>
      <c r="E374">
        <v>4</v>
      </c>
      <c r="F374" t="s">
        <v>945</v>
      </c>
    </row>
    <row r="375" spans="2:6" x14ac:dyDescent="0.25">
      <c r="B375">
        <v>1001</v>
      </c>
      <c r="C375" t="s">
        <v>956</v>
      </c>
      <c r="D375">
        <v>545</v>
      </c>
      <c r="E375">
        <v>4</v>
      </c>
      <c r="F375" t="s">
        <v>945</v>
      </c>
    </row>
    <row r="376" spans="2:6" x14ac:dyDescent="0.25">
      <c r="B376">
        <v>1002</v>
      </c>
      <c r="C376" t="s">
        <v>954</v>
      </c>
      <c r="D376">
        <v>530</v>
      </c>
      <c r="E376">
        <v>4</v>
      </c>
      <c r="F376" t="s">
        <v>945</v>
      </c>
    </row>
    <row r="377" spans="2:6" x14ac:dyDescent="0.25">
      <c r="B377">
        <v>1003</v>
      </c>
      <c r="C377" t="s">
        <v>1002</v>
      </c>
      <c r="D377">
        <v>480</v>
      </c>
      <c r="E377">
        <v>2</v>
      </c>
      <c r="F377" t="s">
        <v>943</v>
      </c>
    </row>
    <row r="378" spans="2:6" x14ac:dyDescent="0.25">
      <c r="B378">
        <v>1004</v>
      </c>
      <c r="C378" t="s">
        <v>950</v>
      </c>
      <c r="D378">
        <v>1003</v>
      </c>
      <c r="E378">
        <v>3</v>
      </c>
      <c r="F378" t="s">
        <v>943</v>
      </c>
    </row>
    <row r="379" spans="2:6" x14ac:dyDescent="0.25">
      <c r="B379">
        <v>1005</v>
      </c>
      <c r="C379" t="s">
        <v>958</v>
      </c>
      <c r="D379">
        <v>1004</v>
      </c>
      <c r="E379">
        <v>4</v>
      </c>
      <c r="F379" t="s">
        <v>945</v>
      </c>
    </row>
    <row r="380" spans="2:6" x14ac:dyDescent="0.25">
      <c r="B380">
        <v>1006</v>
      </c>
      <c r="C380" t="s">
        <v>959</v>
      </c>
      <c r="D380">
        <v>1004</v>
      </c>
      <c r="E380">
        <v>4</v>
      </c>
      <c r="F380" t="s">
        <v>945</v>
      </c>
    </row>
    <row r="381" spans="2:6" x14ac:dyDescent="0.25">
      <c r="B381">
        <v>1007</v>
      </c>
      <c r="C381" t="s">
        <v>960</v>
      </c>
      <c r="D381">
        <v>1004</v>
      </c>
      <c r="E381">
        <v>4</v>
      </c>
      <c r="F381" t="s">
        <v>945</v>
      </c>
    </row>
    <row r="382" spans="2:6" x14ac:dyDescent="0.25">
      <c r="B382">
        <v>1008</v>
      </c>
      <c r="C382" t="s">
        <v>961</v>
      </c>
      <c r="D382">
        <v>1004</v>
      </c>
      <c r="E382">
        <v>4</v>
      </c>
      <c r="F382" t="s">
        <v>945</v>
      </c>
    </row>
    <row r="383" spans="2:6" x14ac:dyDescent="0.25">
      <c r="B383">
        <v>1009</v>
      </c>
      <c r="C383" t="s">
        <v>1003</v>
      </c>
      <c r="D383">
        <v>1004</v>
      </c>
      <c r="E383">
        <v>4</v>
      </c>
      <c r="F383" t="s">
        <v>945</v>
      </c>
    </row>
    <row r="384" spans="2:6" x14ac:dyDescent="0.25">
      <c r="B384">
        <v>1010</v>
      </c>
      <c r="C384" t="s">
        <v>951</v>
      </c>
      <c r="D384">
        <v>1003</v>
      </c>
      <c r="E384">
        <v>3</v>
      </c>
      <c r="F384" t="s">
        <v>943</v>
      </c>
    </row>
    <row r="385" spans="2:6" x14ac:dyDescent="0.25">
      <c r="B385">
        <v>1011</v>
      </c>
      <c r="C385" t="s">
        <v>962</v>
      </c>
      <c r="D385">
        <v>1010</v>
      </c>
      <c r="E385">
        <v>4</v>
      </c>
      <c r="F385" t="s">
        <v>945</v>
      </c>
    </row>
    <row r="386" spans="2:6" x14ac:dyDescent="0.25">
      <c r="B386">
        <v>1012</v>
      </c>
      <c r="C386" t="s">
        <v>963</v>
      </c>
      <c r="D386">
        <v>1010</v>
      </c>
      <c r="E386">
        <v>4</v>
      </c>
      <c r="F386" t="s">
        <v>945</v>
      </c>
    </row>
    <row r="387" spans="2:6" x14ac:dyDescent="0.25">
      <c r="B387">
        <v>1013</v>
      </c>
      <c r="C387" t="s">
        <v>964</v>
      </c>
      <c r="D387">
        <v>1010</v>
      </c>
      <c r="E387">
        <v>4</v>
      </c>
      <c r="F387" t="s">
        <v>945</v>
      </c>
    </row>
    <row r="388" spans="2:6" x14ac:dyDescent="0.25">
      <c r="B388">
        <v>1014</v>
      </c>
      <c r="C388" t="s">
        <v>952</v>
      </c>
      <c r="D388">
        <v>1003</v>
      </c>
      <c r="E388">
        <v>3</v>
      </c>
      <c r="F388" t="s">
        <v>943</v>
      </c>
    </row>
    <row r="389" spans="2:6" x14ac:dyDescent="0.25">
      <c r="B389">
        <v>1015</v>
      </c>
      <c r="C389" t="s">
        <v>962</v>
      </c>
      <c r="D389">
        <v>1014</v>
      </c>
      <c r="E389">
        <v>4</v>
      </c>
      <c r="F389" t="s">
        <v>945</v>
      </c>
    </row>
    <row r="390" spans="2:6" x14ac:dyDescent="0.25">
      <c r="B390">
        <v>1016</v>
      </c>
      <c r="C390" t="s">
        <v>963</v>
      </c>
      <c r="D390">
        <v>1014</v>
      </c>
      <c r="E390">
        <v>4</v>
      </c>
      <c r="F390" t="s">
        <v>945</v>
      </c>
    </row>
    <row r="391" spans="2:6" x14ac:dyDescent="0.25">
      <c r="B391">
        <v>1017</v>
      </c>
      <c r="C391" t="s">
        <v>964</v>
      </c>
      <c r="D391">
        <v>1014</v>
      </c>
      <c r="E391">
        <v>4</v>
      </c>
      <c r="F391" t="s">
        <v>945</v>
      </c>
    </row>
    <row r="392" spans="2:6" x14ac:dyDescent="0.25">
      <c r="B392">
        <v>998</v>
      </c>
      <c r="C392" t="s">
        <v>948</v>
      </c>
      <c r="D392">
        <v>505</v>
      </c>
      <c r="E392">
        <v>3</v>
      </c>
      <c r="F392" t="s">
        <v>945</v>
      </c>
    </row>
    <row r="393" spans="2:6" x14ac:dyDescent="0.25">
      <c r="B393">
        <v>999</v>
      </c>
      <c r="C393" t="s">
        <v>949</v>
      </c>
      <c r="D393">
        <v>505</v>
      </c>
      <c r="E393">
        <v>3</v>
      </c>
      <c r="F393" t="s">
        <v>945</v>
      </c>
    </row>
    <row r="394" spans="2:6" x14ac:dyDescent="0.25">
      <c r="B394">
        <v>1046</v>
      </c>
      <c r="C394" t="s">
        <v>1004</v>
      </c>
      <c r="D394">
        <v>505</v>
      </c>
      <c r="E394">
        <v>3</v>
      </c>
      <c r="F394" t="s">
        <v>943</v>
      </c>
    </row>
    <row r="395" spans="2:6" x14ac:dyDescent="0.25">
      <c r="B395">
        <v>1047</v>
      </c>
      <c r="C395" t="s">
        <v>915</v>
      </c>
      <c r="D395">
        <v>1046</v>
      </c>
      <c r="E395">
        <v>4</v>
      </c>
      <c r="F395" t="s">
        <v>945</v>
      </c>
    </row>
    <row r="396" spans="2:6" x14ac:dyDescent="0.25">
      <c r="B396">
        <v>1048</v>
      </c>
      <c r="C396" t="s">
        <v>916</v>
      </c>
      <c r="D396">
        <v>1046</v>
      </c>
      <c r="E396">
        <v>4</v>
      </c>
      <c r="F396" t="s">
        <v>945</v>
      </c>
    </row>
    <row r="397" spans="2:6" x14ac:dyDescent="0.25">
      <c r="B397">
        <v>1049</v>
      </c>
      <c r="C397" t="s">
        <v>913</v>
      </c>
      <c r="D397">
        <v>1046</v>
      </c>
      <c r="E397">
        <v>4</v>
      </c>
      <c r="F397" t="s">
        <v>945</v>
      </c>
    </row>
    <row r="398" spans="2:6" x14ac:dyDescent="0.25">
      <c r="B398">
        <v>1050</v>
      </c>
      <c r="C398" t="s">
        <v>914</v>
      </c>
      <c r="D398">
        <v>1046</v>
      </c>
      <c r="E398">
        <v>4</v>
      </c>
      <c r="F398" t="s">
        <v>945</v>
      </c>
    </row>
    <row r="399" spans="2:6" x14ac:dyDescent="0.25">
      <c r="B399">
        <v>1051</v>
      </c>
      <c r="C399" t="s">
        <v>1005</v>
      </c>
      <c r="D399">
        <v>479</v>
      </c>
      <c r="E399">
        <v>1</v>
      </c>
      <c r="F399" t="s">
        <v>943</v>
      </c>
    </row>
    <row r="400" spans="2:6" x14ac:dyDescent="0.25">
      <c r="B400">
        <v>1052</v>
      </c>
      <c r="C400" t="s">
        <v>1006</v>
      </c>
      <c r="D400">
        <v>1051</v>
      </c>
      <c r="E400">
        <v>2</v>
      </c>
      <c r="F400" t="s">
        <v>945</v>
      </c>
    </row>
    <row r="401" spans="2:6" x14ac:dyDescent="0.25">
      <c r="B401">
        <v>1053</v>
      </c>
      <c r="C401" t="s">
        <v>1007</v>
      </c>
      <c r="D401">
        <v>1051</v>
      </c>
      <c r="E401">
        <v>2</v>
      </c>
      <c r="F401" t="s">
        <v>945</v>
      </c>
    </row>
    <row r="402" spans="2:6" x14ac:dyDescent="0.25">
      <c r="B402">
        <v>965</v>
      </c>
      <c r="C402" t="s">
        <v>83</v>
      </c>
      <c r="D402">
        <v>962</v>
      </c>
      <c r="E402">
        <v>3</v>
      </c>
      <c r="F402" t="s">
        <v>945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21</vt:i4>
      </vt:variant>
    </vt:vector>
  </HeadingPairs>
  <TitlesOfParts>
    <vt:vector size="34" baseType="lpstr">
      <vt:lpstr>PEP Declaration</vt:lpstr>
      <vt:lpstr>Indicators PCR-ed 2.1</vt:lpstr>
      <vt:lpstr>Indicators PCR-ed 3</vt:lpstr>
      <vt:lpstr>Indicators PCR-ed 3 - Decl.Prod</vt:lpstr>
      <vt:lpstr>Indicators PCR-ed 4</vt:lpstr>
      <vt:lpstr>Indicators PCR-ed 4 - Decl.Prod</vt:lpstr>
      <vt:lpstr>Level1</vt:lpstr>
      <vt:lpstr>Level2</vt:lpstr>
      <vt:lpstr>Level3</vt:lpstr>
      <vt:lpstr>Level4</vt:lpstr>
      <vt:lpstr>Ref_FuncUnit</vt:lpstr>
      <vt:lpstr>Ref_PCR-PSR-Zone</vt:lpstr>
      <vt:lpstr>Nomenclature</vt:lpstr>
      <vt:lpstr>'Indicators PCR-ed 3'!List_Bool</vt:lpstr>
      <vt:lpstr>'Indicators PCR-ed 4 - Decl.Prod'!List_Bool</vt:lpstr>
      <vt:lpstr>List_Bool</vt:lpstr>
      <vt:lpstr>'Indicators PCR-ed 3'!List_PCR</vt:lpstr>
      <vt:lpstr>'Indicators PCR-ed 4 - Decl.Prod'!List_PCR</vt:lpstr>
      <vt:lpstr>List_PCR</vt:lpstr>
      <vt:lpstr>'Indicators PCR-ed 3'!List_PSR</vt:lpstr>
      <vt:lpstr>'Indicators PCR-ed 4 - Decl.Prod'!List_PSR</vt:lpstr>
      <vt:lpstr>List_PSR</vt:lpstr>
      <vt:lpstr>'Indicators PCR-ed 3'!List_SendMode</vt:lpstr>
      <vt:lpstr>'Indicators PCR-ed 4 - Decl.Prod'!List_SendMode</vt:lpstr>
      <vt:lpstr>List_SendMode</vt:lpstr>
      <vt:lpstr>'Indicators PCR-ed 3'!List_Units</vt:lpstr>
      <vt:lpstr>'Indicators PCR-ed 4 - Decl.Prod'!List_Units</vt:lpstr>
      <vt:lpstr>List_Units</vt:lpstr>
      <vt:lpstr>'Indicators PCR-ed 3'!List_Units_Mass</vt:lpstr>
      <vt:lpstr>'Indicators PCR-ed 4 - Decl.Prod'!List_Units_Mass</vt:lpstr>
      <vt:lpstr>List_Units_Mass</vt:lpstr>
      <vt:lpstr>'Indicators PCR-ed 3'!List_Zone</vt:lpstr>
      <vt:lpstr>'Indicators PCR-ed 4 - Decl.Prod'!List_Zone</vt:lpstr>
      <vt:lpstr>List_Zone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Liger</dc:creator>
  <cp:lastModifiedBy>Clément Dyon</cp:lastModifiedBy>
  <dcterms:created xsi:type="dcterms:W3CDTF">2021-09-09T13:03:32Z</dcterms:created>
  <dcterms:modified xsi:type="dcterms:W3CDTF">2026-06-23T12:41:35Z</dcterms:modified>
</cp:coreProperties>
</file>